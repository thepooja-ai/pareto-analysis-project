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ustomers" sheetId="2" r:id="rId6"/>
    <sheet state="visible" name="Products" sheetId="3" r:id="rId7"/>
    <sheet state="visible" name="FinalData" sheetId="4" r:id="rId8"/>
    <sheet state="visible" name="Sales by Region " sheetId="5" r:id="rId9"/>
    <sheet state="visible" name="Sales  by Month" sheetId="6" r:id="rId10"/>
    <sheet state="visible" name="Sales by Category" sheetId="7" r:id="rId11"/>
    <sheet state="visible" name="Top Customers" sheetId="8" r:id="rId12"/>
    <sheet state="visible" name="Top Products" sheetId="9" r:id="rId13"/>
    <sheet state="visible" name="Pareto_Analysis" sheetId="10" r:id="rId14"/>
    <sheet state="visible" name="Dashboard!" sheetId="11" r:id="rId15"/>
  </sheets>
  <definedNames/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<sst xmlns="http://schemas.openxmlformats.org/spreadsheetml/2006/main" count="2679" uniqueCount="995">
  <si>
    <t>OrderID</t>
  </si>
  <si>
    <t>OrderDate</t>
  </si>
  <si>
    <t>CustomerID</t>
  </si>
  <si>
    <t>ProductID</t>
  </si>
  <si>
    <t>Quantity</t>
  </si>
  <si>
    <t>UnitPrice</t>
  </si>
  <si>
    <t>TotalSale</t>
  </si>
  <si>
    <t>Region</t>
  </si>
  <si>
    <t>ORD-5001</t>
  </si>
  <si>
    <t>C2265</t>
  </si>
  <si>
    <t>P1046</t>
  </si>
  <si>
    <t>North</t>
  </si>
  <si>
    <t>ORD-5002</t>
  </si>
  <si>
    <t>C2033</t>
  </si>
  <si>
    <t>P1010</t>
  </si>
  <si>
    <t>ORD-5003</t>
  </si>
  <si>
    <t>C2365</t>
  </si>
  <si>
    <t>P1037</t>
  </si>
  <si>
    <t>West</t>
  </si>
  <si>
    <t>ORD-5004</t>
  </si>
  <si>
    <t>C2327</t>
  </si>
  <si>
    <t>P1001</t>
  </si>
  <si>
    <t>ORD-5005</t>
  </si>
  <si>
    <t>C2012</t>
  </si>
  <si>
    <t>P1042</t>
  </si>
  <si>
    <t>South</t>
  </si>
  <si>
    <t>ORD-5006</t>
  </si>
  <si>
    <t>C2283</t>
  </si>
  <si>
    <t>P1003</t>
  </si>
  <si>
    <t>ORD-5007</t>
  </si>
  <si>
    <t>C2290</t>
  </si>
  <si>
    <t>P1030</t>
  </si>
  <si>
    <t>ORD-5008</t>
  </si>
  <si>
    <t>C2418</t>
  </si>
  <si>
    <t>P1025</t>
  </si>
  <si>
    <t>ORD-5009</t>
  </si>
  <si>
    <t>C2382</t>
  </si>
  <si>
    <t>P1016</t>
  </si>
  <si>
    <t>East</t>
  </si>
  <si>
    <t>ORD-5010</t>
  </si>
  <si>
    <t>C2087</t>
  </si>
  <si>
    <t>P1014</t>
  </si>
  <si>
    <t>ORD-5011</t>
  </si>
  <si>
    <t>C2276</t>
  </si>
  <si>
    <t>P1005</t>
  </si>
  <si>
    <t>ORD-5012</t>
  </si>
  <si>
    <t>C2447</t>
  </si>
  <si>
    <t>P1029</t>
  </si>
  <si>
    <t>ORD-5013</t>
  </si>
  <si>
    <t>C2015</t>
  </si>
  <si>
    <t>ORD-5014</t>
  </si>
  <si>
    <t>C2496</t>
  </si>
  <si>
    <t>P1041</t>
  </si>
  <si>
    <t>ORD-5015</t>
  </si>
  <si>
    <t>C2249</t>
  </si>
  <si>
    <t>ORD-5016</t>
  </si>
  <si>
    <t>C2457</t>
  </si>
  <si>
    <t>ORD-5017</t>
  </si>
  <si>
    <t>C2391</t>
  </si>
  <si>
    <t>P1040</t>
  </si>
  <si>
    <t>ORD-5018</t>
  </si>
  <si>
    <t>C2385</t>
  </si>
  <si>
    <t>ORD-5019</t>
  </si>
  <si>
    <t>C2211</t>
  </si>
  <si>
    <t>ORD-5020</t>
  </si>
  <si>
    <t>C2037</t>
  </si>
  <si>
    <t>ORD-5021</t>
  </si>
  <si>
    <t>C2254</t>
  </si>
  <si>
    <t>P1013</t>
  </si>
  <si>
    <t>ORD-5022</t>
  </si>
  <si>
    <t>C2360</t>
  </si>
  <si>
    <t>ORD-5023</t>
  </si>
  <si>
    <t>C2455</t>
  </si>
  <si>
    <t>P1028</t>
  </si>
  <si>
    <t>ORD-5024</t>
  </si>
  <si>
    <t>C2089</t>
  </si>
  <si>
    <t>P1032</t>
  </si>
  <si>
    <t>ORD-5025</t>
  </si>
  <si>
    <t>C2362</t>
  </si>
  <si>
    <t>P1043</t>
  </si>
  <si>
    <t>ORD-5026</t>
  </si>
  <si>
    <t>C2157</t>
  </si>
  <si>
    <t>P1008</t>
  </si>
  <si>
    <t>ORD-5027</t>
  </si>
  <si>
    <t>P1049</t>
  </si>
  <si>
    <t>ORD-5028</t>
  </si>
  <si>
    <t>C2295</t>
  </si>
  <si>
    <t>ORD-5029</t>
  </si>
  <si>
    <t>C2002</t>
  </si>
  <si>
    <t>P1038</t>
  </si>
  <si>
    <t>ORD-5030</t>
  </si>
  <si>
    <t>C2139</t>
  </si>
  <si>
    <t>P1007</t>
  </si>
  <si>
    <t>ORD-5031</t>
  </si>
  <si>
    <t>ORD-5032</t>
  </si>
  <si>
    <t>C2170</t>
  </si>
  <si>
    <t>ORD-5033</t>
  </si>
  <si>
    <t>C2068</t>
  </si>
  <si>
    <t>ORD-5034</t>
  </si>
  <si>
    <t>C2042</t>
  </si>
  <si>
    <t>P1011</t>
  </si>
  <si>
    <t>ORD-5035</t>
  </si>
  <si>
    <t>C2152</t>
  </si>
  <si>
    <t>ORD-5036</t>
  </si>
  <si>
    <t>C2399</t>
  </si>
  <si>
    <t>P1026</t>
  </si>
  <si>
    <t>ORD-5037</t>
  </si>
  <si>
    <t>C2423</t>
  </si>
  <si>
    <t>ORD-5038</t>
  </si>
  <si>
    <t>C2099</t>
  </si>
  <si>
    <t>P1009</t>
  </si>
  <si>
    <t>ORD-5039</t>
  </si>
  <si>
    <t>C2088</t>
  </si>
  <si>
    <t>ORD-5040</t>
  </si>
  <si>
    <t>C2145</t>
  </si>
  <si>
    <t>P1034</t>
  </si>
  <si>
    <t>ORD-5041</t>
  </si>
  <si>
    <t>C2280</t>
  </si>
  <si>
    <t>P1018</t>
  </si>
  <si>
    <t>ORD-5042</t>
  </si>
  <si>
    <t>C2190</t>
  </si>
  <si>
    <t>ORD-5043</t>
  </si>
  <si>
    <t>C2312</t>
  </si>
  <si>
    <t>P1039</t>
  </si>
  <si>
    <t>ORD-5044</t>
  </si>
  <si>
    <t>C2213</t>
  </si>
  <si>
    <t>P1050</t>
  </si>
  <si>
    <t>ORD-5045</t>
  </si>
  <si>
    <t>C2445</t>
  </si>
  <si>
    <t>ORD-5046</t>
  </si>
  <si>
    <t>C2472</t>
  </si>
  <si>
    <t>ORD-5047</t>
  </si>
  <si>
    <t>C2439</t>
  </si>
  <si>
    <t>P1006</t>
  </si>
  <si>
    <t>ORD-5048</t>
  </si>
  <si>
    <t>C2294</t>
  </si>
  <si>
    <t>ORD-5049</t>
  </si>
  <si>
    <t>C2069</t>
  </si>
  <si>
    <t>P1019</t>
  </si>
  <si>
    <t>ORD-5050</t>
  </si>
  <si>
    <t>C2023</t>
  </si>
  <si>
    <t>P1015</t>
  </si>
  <si>
    <t>ORD-5051</t>
  </si>
  <si>
    <t>C2330</t>
  </si>
  <si>
    <t>ORD-5052</t>
  </si>
  <si>
    <t>C2052</t>
  </si>
  <si>
    <t>ORD-5053</t>
  </si>
  <si>
    <t>C2058</t>
  </si>
  <si>
    <t>P1031</t>
  </si>
  <si>
    <t>ORD-5054</t>
  </si>
  <si>
    <t>C2367</t>
  </si>
  <si>
    <t>ORD-5055</t>
  </si>
  <si>
    <t>C2108</t>
  </si>
  <si>
    <t>ORD-5056</t>
  </si>
  <si>
    <t>C2340</t>
  </si>
  <si>
    <t>P1002</t>
  </si>
  <si>
    <t>ORD-5057</t>
  </si>
  <si>
    <t>C2394</t>
  </si>
  <si>
    <t>ORD-5058</t>
  </si>
  <si>
    <t>C2065</t>
  </si>
  <si>
    <t>P1017</t>
  </si>
  <si>
    <t>ORD-5059</t>
  </si>
  <si>
    <t>C2043</t>
  </si>
  <si>
    <t>ORD-5060</t>
  </si>
  <si>
    <t>C2393</t>
  </si>
  <si>
    <t>ORD-5061</t>
  </si>
  <si>
    <t>C2342</t>
  </si>
  <si>
    <t>P1020</t>
  </si>
  <si>
    <t>ORD-5062</t>
  </si>
  <si>
    <t>C2077</t>
  </si>
  <si>
    <t>P1036</t>
  </si>
  <si>
    <t>ORD-5063</t>
  </si>
  <si>
    <t>C2013</t>
  </si>
  <si>
    <t>ORD-5064</t>
  </si>
  <si>
    <t>C2300</t>
  </si>
  <si>
    <t>P1044</t>
  </si>
  <si>
    <t>ORD-5065</t>
  </si>
  <si>
    <t>C2128</t>
  </si>
  <si>
    <t>ORD-5066</t>
  </si>
  <si>
    <t>C2188</t>
  </si>
  <si>
    <t>ORD-5067</t>
  </si>
  <si>
    <t>C2331</t>
  </si>
  <si>
    <t>ORD-5068</t>
  </si>
  <si>
    <t>C2018</t>
  </si>
  <si>
    <t>P1027</t>
  </si>
  <si>
    <t>ORD-5069</t>
  </si>
  <si>
    <t>C2434</t>
  </si>
  <si>
    <t>ORD-5070</t>
  </si>
  <si>
    <t>C2316</t>
  </si>
  <si>
    <t>ORD-5071</t>
  </si>
  <si>
    <t>C2131</t>
  </si>
  <si>
    <t>P1023</t>
  </si>
  <si>
    <t>ORD-5072</t>
  </si>
  <si>
    <t>ORD-5073</t>
  </si>
  <si>
    <t>C2209</t>
  </si>
  <si>
    <t>ORD-5074</t>
  </si>
  <si>
    <t>C2162</t>
  </si>
  <si>
    <t>ORD-5075</t>
  </si>
  <si>
    <t>ORD-5076</t>
  </si>
  <si>
    <t>C2103</t>
  </si>
  <si>
    <t>ORD-5077</t>
  </si>
  <si>
    <t>C2278</t>
  </si>
  <si>
    <t>P1045</t>
  </si>
  <si>
    <t>ORD-5078</t>
  </si>
  <si>
    <t>C2323</t>
  </si>
  <si>
    <t>ORD-5079</t>
  </si>
  <si>
    <t>C2405</t>
  </si>
  <si>
    <t>ORD-5080</t>
  </si>
  <si>
    <t>C2357</t>
  </si>
  <si>
    <t>ORD-5081</t>
  </si>
  <si>
    <t>C2471</t>
  </si>
  <si>
    <t>ORD-5082</t>
  </si>
  <si>
    <t>C2137</t>
  </si>
  <si>
    <t>ORD-5083</t>
  </si>
  <si>
    <t>C2354</t>
  </si>
  <si>
    <t>ORD-5084</t>
  </si>
  <si>
    <t>C2432</t>
  </si>
  <si>
    <t>ORD-5085</t>
  </si>
  <si>
    <t>C2149</t>
  </si>
  <si>
    <t>ORD-5086</t>
  </si>
  <si>
    <t>C2319</t>
  </si>
  <si>
    <t>ORD-5087</t>
  </si>
  <si>
    <t>C2411</t>
  </si>
  <si>
    <t>P1033</t>
  </si>
  <si>
    <t>ORD-5088</t>
  </si>
  <si>
    <t>C2452</t>
  </si>
  <si>
    <t>ORD-5089</t>
  </si>
  <si>
    <t>C2094</t>
  </si>
  <si>
    <t>ORD-5090</t>
  </si>
  <si>
    <t>C2197</t>
  </si>
  <si>
    <t>ORD-5091</t>
  </si>
  <si>
    <t>C2064</t>
  </si>
  <si>
    <t>ORD-5092</t>
  </si>
  <si>
    <t>C2225</t>
  </si>
  <si>
    <t>ORD-5093</t>
  </si>
  <si>
    <t>ORD-5094</t>
  </si>
  <si>
    <t>C2027</t>
  </si>
  <si>
    <t>P1022</t>
  </si>
  <si>
    <t>ORD-5095</t>
  </si>
  <si>
    <t>C2073</t>
  </si>
  <si>
    <t>ORD-5096</t>
  </si>
  <si>
    <t>C2361</t>
  </si>
  <si>
    <t>ORD-5097</t>
  </si>
  <si>
    <t>C2469</t>
  </si>
  <si>
    <t>ORD-5098</t>
  </si>
  <si>
    <t>C2458</t>
  </si>
  <si>
    <t>ORD-5099</t>
  </si>
  <si>
    <t>P1048</t>
  </si>
  <si>
    <t>ORD-5100</t>
  </si>
  <si>
    <t>C2430</t>
  </si>
  <si>
    <t>ORD-5101</t>
  </si>
  <si>
    <t>C2154</t>
  </si>
  <si>
    <t>ORD-5102</t>
  </si>
  <si>
    <t>C2204</t>
  </si>
  <si>
    <t>ORD-5103</t>
  </si>
  <si>
    <t>C2252</t>
  </si>
  <si>
    <t>ORD-5104</t>
  </si>
  <si>
    <t>C2346</t>
  </si>
  <si>
    <t>ORD-5105</t>
  </si>
  <si>
    <t>C2409</t>
  </si>
  <si>
    <t>ORD-5106</t>
  </si>
  <si>
    <t>C2406</t>
  </si>
  <si>
    <t>ORD-5107</t>
  </si>
  <si>
    <t>C2381</t>
  </si>
  <si>
    <t>ORD-5108</t>
  </si>
  <si>
    <t>C2024</t>
  </si>
  <si>
    <t>ORD-5109</t>
  </si>
  <si>
    <t>C2374</t>
  </si>
  <si>
    <t>ORD-5110</t>
  </si>
  <si>
    <t>C2299</t>
  </si>
  <si>
    <t>ORD-5111</t>
  </si>
  <si>
    <t>ORD-5112</t>
  </si>
  <si>
    <t>C2036</t>
  </si>
  <si>
    <t>ORD-5113</t>
  </si>
  <si>
    <t>C2460</t>
  </si>
  <si>
    <t>ORD-5114</t>
  </si>
  <si>
    <t>C2403</t>
  </si>
  <si>
    <t>P1035</t>
  </si>
  <si>
    <t>ORD-5115</t>
  </si>
  <si>
    <t>C2459</t>
  </si>
  <si>
    <t>ORD-5116</t>
  </si>
  <si>
    <t>C2251</t>
  </si>
  <si>
    <t>ORD-5117</t>
  </si>
  <si>
    <t>C2090</t>
  </si>
  <si>
    <t>ORD-5118</t>
  </si>
  <si>
    <t>C2291</t>
  </si>
  <si>
    <t>ORD-5119</t>
  </si>
  <si>
    <t>ORD-5120</t>
  </si>
  <si>
    <t>C2348</t>
  </si>
  <si>
    <t>ORD-5121</t>
  </si>
  <si>
    <t>C2096</t>
  </si>
  <si>
    <t>ORD-5122</t>
  </si>
  <si>
    <t>C2173</t>
  </si>
  <si>
    <t>ORD-5123</t>
  </si>
  <si>
    <t>C2102</t>
  </si>
  <si>
    <t>ORD-5124</t>
  </si>
  <si>
    <t>C2178</t>
  </si>
  <si>
    <t>ORD-5125</t>
  </si>
  <si>
    <t>C2080</t>
  </si>
  <si>
    <t>ORD-5126</t>
  </si>
  <si>
    <t>C2056</t>
  </si>
  <si>
    <t>ORD-5127</t>
  </si>
  <si>
    <t>C2408</t>
  </si>
  <si>
    <t>ORD-5128</t>
  </si>
  <si>
    <t>C2196</t>
  </si>
  <si>
    <t>ORD-5129</t>
  </si>
  <si>
    <t>C2378</t>
  </si>
  <si>
    <t>ORD-5130</t>
  </si>
  <si>
    <t>C2380</t>
  </si>
  <si>
    <t>ORD-5131</t>
  </si>
  <si>
    <t>C2034</t>
  </si>
  <si>
    <t>ORD-5132</t>
  </si>
  <si>
    <t>C2417</t>
  </si>
  <si>
    <t>ORD-5133</t>
  </si>
  <si>
    <t>C2030</t>
  </si>
  <si>
    <t>P1004</t>
  </si>
  <si>
    <t>ORD-5134</t>
  </si>
  <si>
    <t>C2433</t>
  </si>
  <si>
    <t>ORD-5135</t>
  </si>
  <si>
    <t>C2474</t>
  </si>
  <si>
    <t>ORD-5136</t>
  </si>
  <si>
    <t>C2241</t>
  </si>
  <si>
    <t>ORD-5137</t>
  </si>
  <si>
    <t>C2070</t>
  </si>
  <si>
    <t>ORD-5138</t>
  </si>
  <si>
    <t>C2344</t>
  </si>
  <si>
    <t>ORD-5139</t>
  </si>
  <si>
    <t>ORD-5140</t>
  </si>
  <si>
    <t>ORD-5141</t>
  </si>
  <si>
    <t>C2373</t>
  </si>
  <si>
    <t>ORD-5142</t>
  </si>
  <si>
    <t>C2271</t>
  </si>
  <si>
    <t>ORD-5143</t>
  </si>
  <si>
    <t>ORD-5144</t>
  </si>
  <si>
    <t>C2174</t>
  </si>
  <si>
    <t>ORD-5145</t>
  </si>
  <si>
    <t>ORD-5146</t>
  </si>
  <si>
    <t>ORD-5147</t>
  </si>
  <si>
    <t>C2161</t>
  </si>
  <si>
    <t>ORD-5148</t>
  </si>
  <si>
    <t>P1021</t>
  </si>
  <si>
    <t>ORD-5149</t>
  </si>
  <si>
    <t>C2125</t>
  </si>
  <si>
    <t>ORD-5150</t>
  </si>
  <si>
    <t>C2335</t>
  </si>
  <si>
    <t>ORD-5151</t>
  </si>
  <si>
    <t>ORD-5152</t>
  </si>
  <si>
    <t>ORD-5153</t>
  </si>
  <si>
    <t>ORD-5154</t>
  </si>
  <si>
    <t>C2498</t>
  </si>
  <si>
    <t>ORD-5155</t>
  </si>
  <si>
    <t>C2298</t>
  </si>
  <si>
    <t>ORD-5156</t>
  </si>
  <si>
    <t>ORD-5157</t>
  </si>
  <si>
    <t>C2208</t>
  </si>
  <si>
    <t>ORD-5158</t>
  </si>
  <si>
    <t>C2055</t>
  </si>
  <si>
    <t>ORD-5159</t>
  </si>
  <si>
    <t>ORD-5160</t>
  </si>
  <si>
    <t>C2109</t>
  </si>
  <si>
    <t>ORD-5161</t>
  </si>
  <si>
    <t>C2022</t>
  </si>
  <si>
    <t>ORD-5162</t>
  </si>
  <si>
    <t>C2186</t>
  </si>
  <si>
    <t>ORD-5163</t>
  </si>
  <si>
    <t>C2238</t>
  </si>
  <si>
    <t>ORD-5164</t>
  </si>
  <si>
    <t>C2187</t>
  </si>
  <si>
    <t>ORD-5165</t>
  </si>
  <si>
    <t>ORD-5166</t>
  </si>
  <si>
    <t>P1047</t>
  </si>
  <si>
    <t>ORD-5167</t>
  </si>
  <si>
    <t>C2309</t>
  </si>
  <si>
    <t>ORD-5168</t>
  </si>
  <si>
    <t>ORD-5169</t>
  </si>
  <si>
    <t>C2169</t>
  </si>
  <si>
    <t>ORD-5170</t>
  </si>
  <si>
    <t>ORD-5171</t>
  </si>
  <si>
    <t>ORD-5172</t>
  </si>
  <si>
    <t>C2057</t>
  </si>
  <si>
    <t>ORD-5173</t>
  </si>
  <si>
    <t>ORD-5174</t>
  </si>
  <si>
    <t>C2192</t>
  </si>
  <si>
    <t>ORD-5175</t>
  </si>
  <si>
    <t>C2402</t>
  </si>
  <si>
    <t>ORD-5176</t>
  </si>
  <si>
    <t>C2194</t>
  </si>
  <si>
    <t>ORD-5177</t>
  </si>
  <si>
    <t>ORD-5178</t>
  </si>
  <si>
    <t>C2172</t>
  </si>
  <si>
    <t>ORD-5179</t>
  </si>
  <si>
    <t>C2333</t>
  </si>
  <si>
    <t>ORD-5180</t>
  </si>
  <si>
    <t>C2066</t>
  </si>
  <si>
    <t>ORD-5181</t>
  </si>
  <si>
    <t>C2268</t>
  </si>
  <si>
    <t>ORD-5182</t>
  </si>
  <si>
    <t>ORD-5183</t>
  </si>
  <si>
    <t>ORD-5184</t>
  </si>
  <si>
    <t>C2164</t>
  </si>
  <si>
    <t>ORD-5185</t>
  </si>
  <si>
    <t>C2487</t>
  </si>
  <si>
    <t>ORD-5186</t>
  </si>
  <si>
    <t>C2239</t>
  </si>
  <si>
    <t>ORD-5187</t>
  </si>
  <si>
    <t>C2132</t>
  </si>
  <si>
    <t>ORD-5188</t>
  </si>
  <si>
    <t>ORD-5189</t>
  </si>
  <si>
    <t>ORD-5190</t>
  </si>
  <si>
    <t>ORD-5191</t>
  </si>
  <si>
    <t>ORD-5192</t>
  </si>
  <si>
    <t>C2383</t>
  </si>
  <si>
    <t>ORD-5193</t>
  </si>
  <si>
    <t>C2140</t>
  </si>
  <si>
    <t>ORD-5194</t>
  </si>
  <si>
    <t>ORD-5195</t>
  </si>
  <si>
    <t>C2453</t>
  </si>
  <si>
    <t>ORD-5196</t>
  </si>
  <si>
    <t>C2410</t>
  </si>
  <si>
    <t>ORD-5197</t>
  </si>
  <si>
    <t>C2150</t>
  </si>
  <si>
    <t>ORD-5198</t>
  </si>
  <si>
    <t>C2180</t>
  </si>
  <si>
    <t>ORD-5199</t>
  </si>
  <si>
    <t>C2428</t>
  </si>
  <si>
    <t>ORD-5200</t>
  </si>
  <si>
    <t>ORD-5201</t>
  </si>
  <si>
    <t>ORD-5202</t>
  </si>
  <si>
    <t>ORD-5203</t>
  </si>
  <si>
    <t>ORD-5204</t>
  </si>
  <si>
    <t>C2078</t>
  </si>
  <si>
    <t>ORD-5205</t>
  </si>
  <si>
    <t>ORD-5206</t>
  </si>
  <si>
    <t>C2450</t>
  </si>
  <si>
    <t>ORD-5207</t>
  </si>
  <si>
    <t>ORD-5208</t>
  </si>
  <si>
    <t>C2144</t>
  </si>
  <si>
    <t>ORD-5209</t>
  </si>
  <si>
    <t>C2476</t>
  </si>
  <si>
    <t>ORD-5210</t>
  </si>
  <si>
    <t>C2441</t>
  </si>
  <si>
    <t>ORD-5211</t>
  </si>
  <si>
    <t>ORD-5212</t>
  </si>
  <si>
    <t>C2222</t>
  </si>
  <si>
    <t>ORD-5213</t>
  </si>
  <si>
    <t>ORD-5214</t>
  </si>
  <si>
    <t>C2468</t>
  </si>
  <si>
    <t>P1012</t>
  </si>
  <si>
    <t>ORD-5215</t>
  </si>
  <si>
    <t>C2258</t>
  </si>
  <si>
    <t>ORD-5216</t>
  </si>
  <si>
    <t>C2110</t>
  </si>
  <si>
    <t>ORD-5217</t>
  </si>
  <si>
    <t>ORD-5218</t>
  </si>
  <si>
    <t>C2160</t>
  </si>
  <si>
    <t>ORD-5219</t>
  </si>
  <si>
    <t>C2136</t>
  </si>
  <si>
    <t>ORD-5220</t>
  </si>
  <si>
    <t>C2118</t>
  </si>
  <si>
    <t>ORD-5221</t>
  </si>
  <si>
    <t>C2318</t>
  </si>
  <si>
    <t>ORD-5222</t>
  </si>
  <si>
    <t>C2014</t>
  </si>
  <si>
    <t>ORD-5223</t>
  </si>
  <si>
    <t>C2111</t>
  </si>
  <si>
    <t>ORD-5224</t>
  </si>
  <si>
    <t>C2006</t>
  </si>
  <si>
    <t>ORD-5225</t>
  </si>
  <si>
    <t>C2284</t>
  </si>
  <si>
    <t>ORD-5226</t>
  </si>
  <si>
    <t>C2168</t>
  </si>
  <si>
    <t>P1024</t>
  </si>
  <si>
    <t>ORD-5227</t>
  </si>
  <si>
    <t>C2008</t>
  </si>
  <si>
    <t>ORD-5228</t>
  </si>
  <si>
    <t>ORD-5229</t>
  </si>
  <si>
    <t>C2486</t>
  </si>
  <si>
    <t>ORD-5230</t>
  </si>
  <si>
    <t>C2282</t>
  </si>
  <si>
    <t>ORD-5231</t>
  </si>
  <si>
    <t>ORD-5232</t>
  </si>
  <si>
    <t>C2421</t>
  </si>
  <si>
    <t>ORD-5233</t>
  </si>
  <si>
    <t>C2416</t>
  </si>
  <si>
    <t>ORD-5234</t>
  </si>
  <si>
    <t>C2435</t>
  </si>
  <si>
    <t>ORD-5235</t>
  </si>
  <si>
    <t>C2431</t>
  </si>
  <si>
    <t>ORD-5236</t>
  </si>
  <si>
    <t>C2332</t>
  </si>
  <si>
    <t>ORD-5237</t>
  </si>
  <si>
    <t>C2267</t>
  </si>
  <si>
    <t>ORD-5238</t>
  </si>
  <si>
    <t>C2112</t>
  </si>
  <si>
    <t>ORD-5239</t>
  </si>
  <si>
    <t>C2221</t>
  </si>
  <si>
    <t>ORD-5240</t>
  </si>
  <si>
    <t>ORD-5241</t>
  </si>
  <si>
    <t>C2021</t>
  </si>
  <si>
    <t>ORD-5242</t>
  </si>
  <si>
    <t>C2050</t>
  </si>
  <si>
    <t>ORD-5243</t>
  </si>
  <si>
    <t>ORD-5244</t>
  </si>
  <si>
    <t>C2375</t>
  </si>
  <si>
    <t>ORD-5245</t>
  </si>
  <si>
    <t>C2397</t>
  </si>
  <si>
    <t>ORD-5246</t>
  </si>
  <si>
    <t>ORD-5247</t>
  </si>
  <si>
    <t>C2286</t>
  </si>
  <si>
    <t>ORD-5248</t>
  </si>
  <si>
    <t>C2437</t>
  </si>
  <si>
    <t>ORD-5249</t>
  </si>
  <si>
    <t>ORD-5250</t>
  </si>
  <si>
    <t>ORD-5251</t>
  </si>
  <si>
    <t>ORD-5252</t>
  </si>
  <si>
    <t>C2260</t>
  </si>
  <si>
    <t>ORD-5253</t>
  </si>
  <si>
    <t>C2338</t>
  </si>
  <si>
    <t>ORD-5254</t>
  </si>
  <si>
    <t>ORD-5255</t>
  </si>
  <si>
    <t>ORD-5256</t>
  </si>
  <si>
    <t>ORD-5257</t>
  </si>
  <si>
    <t>ORD-5258</t>
  </si>
  <si>
    <t>ORD-5259</t>
  </si>
  <si>
    <t>C2046</t>
  </si>
  <si>
    <t>ORD-5260</t>
  </si>
  <si>
    <t>C2396</t>
  </si>
  <si>
    <t>ORD-5261</t>
  </si>
  <si>
    <t>C2165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</si>
  <si>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</si>
  <si>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</si>
  <si>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</si>
  <si>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</si>
  <si>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</si>
  <si>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</si>
  <si>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</si>
  <si>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</si>
  <si>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C2328</t>
  </si>
  <si>
    <t>ORD-5270</t>
  </si>
  <si>
    <t>ORD-5271</t>
  </si>
  <si>
    <t>ORD-5272</t>
  </si>
  <si>
    <t>C2464</t>
  </si>
  <si>
    <t>ORD-5273</t>
  </si>
  <si>
    <t>C2175</t>
  </si>
  <si>
    <t>ORD-5274</t>
  </si>
  <si>
    <t>C2321</t>
  </si>
  <si>
    <t>ORD-5275</t>
  </si>
  <si>
    <t>ORD-5276</t>
  </si>
  <si>
    <t>ORD-5277</t>
  </si>
  <si>
    <t>C2176</t>
  </si>
  <si>
    <t>ORD-5278</t>
  </si>
  <si>
    <t>ORD-5279</t>
  </si>
  <si>
    <t>C2269</t>
  </si>
  <si>
    <t>ORD-5280</t>
  </si>
  <si>
    <t>C2035</t>
  </si>
  <si>
    <t>ORD-5281</t>
  </si>
  <si>
    <t>C2245</t>
  </si>
  <si>
    <t>ORD-5282</t>
  </si>
  <si>
    <t>ORD-5283</t>
  </si>
  <si>
    <t>ORD-5284</t>
  </si>
  <si>
    <t>ORD-5285</t>
  </si>
  <si>
    <t>C2205</t>
  </si>
  <si>
    <t>ORD-5286</t>
  </si>
  <si>
    <t>ORD-5287</t>
  </si>
  <si>
    <t>C2389</t>
  </si>
  <si>
    <t>ORD-5288</t>
  </si>
  <si>
    <t>ORD-5289</t>
  </si>
  <si>
    <t>ORD-5290</t>
  </si>
  <si>
    <t>C2253</t>
  </si>
  <si>
    <t>ORD-5291</t>
  </si>
  <si>
    <t>C2244</t>
  </si>
  <si>
    <t>ORD-5292</t>
  </si>
  <si>
    <t>ORD-5293</t>
  </si>
  <si>
    <t>ORD-5294</t>
  </si>
  <si>
    <t>C2470</t>
  </si>
  <si>
    <t>ORD-5295</t>
  </si>
  <si>
    <t>C2427</t>
  </si>
  <si>
    <t>ORD-5296</t>
  </si>
  <si>
    <t>C2193</t>
  </si>
  <si>
    <t>ORD-5297</t>
  </si>
  <si>
    <t>C2113</t>
  </si>
  <si>
    <t>ORD-5298</t>
  </si>
  <si>
    <t>ORD-5299</t>
  </si>
  <si>
    <t>C2359</t>
  </si>
  <si>
    <t>ORD-5300</t>
  </si>
  <si>
    <t>C2123</t>
  </si>
  <si>
    <t>ORD-5301</t>
  </si>
  <si>
    <t>C2203</t>
  </si>
  <si>
    <t>ORD-5302</t>
  </si>
  <si>
    <t>ORD-5303</t>
  </si>
  <si>
    <t>ORD-5304</t>
  </si>
  <si>
    <t>ORD-5305</t>
  </si>
  <si>
    <t>C2451</t>
  </si>
  <si>
    <t>ORD-5306</t>
  </si>
  <si>
    <t>C2240</t>
  </si>
  <si>
    <t>ORD-5307</t>
  </si>
  <si>
    <t>C2303</t>
  </si>
  <si>
    <t>ORD-5308</t>
  </si>
  <si>
    <t>ORD-5309</t>
  </si>
  <si>
    <t>ORD-5310</t>
  </si>
  <si>
    <t>C2232</t>
  </si>
  <si>
    <t>ORD-5311</t>
  </si>
  <si>
    <t>ORD-5312</t>
  </si>
  <si>
    <t>C2153</t>
  </si>
  <si>
    <t>ORD-5313</t>
  </si>
  <si>
    <t>C2324</t>
  </si>
  <si>
    <t>ORD-5314</t>
  </si>
  <si>
    <t>ORD-5315</t>
  </si>
  <si>
    <t>ORD-5316</t>
  </si>
  <si>
    <t>ORD-5317</t>
  </si>
  <si>
    <t>C2310</t>
  </si>
  <si>
    <t>ORD-5318</t>
  </si>
  <si>
    <t>ORD-5319</t>
  </si>
  <si>
    <t>ORD-5320</t>
  </si>
  <si>
    <t>C2289</t>
  </si>
  <si>
    <t>ORD-5321</t>
  </si>
  <si>
    <t>C2199</t>
  </si>
  <si>
    <t>ORD-5322</t>
  </si>
  <si>
    <t>ORD-5323</t>
  </si>
  <si>
    <t>C2086</t>
  </si>
  <si>
    <t>ORD-5324</t>
  </si>
  <si>
    <t>C2499</t>
  </si>
  <si>
    <t>ORD-5325</t>
  </si>
  <si>
    <t>ORD-5326</t>
  </si>
  <si>
    <t>C2462</t>
  </si>
  <si>
    <t>ORD-5327</t>
  </si>
  <si>
    <t>C2016</t>
  </si>
  <si>
    <t>ORD-5328</t>
  </si>
  <si>
    <t>C2456</t>
  </si>
  <si>
    <t>ORD-5329</t>
  </si>
  <si>
    <t>ORD-5330</t>
  </si>
  <si>
    <t>ORD-5331</t>
  </si>
  <si>
    <t>ORD-5332</t>
  </si>
  <si>
    <t>C2155</t>
  </si>
  <si>
    <t>ORD-5333</t>
  </si>
  <si>
    <t>C2415</t>
  </si>
  <si>
    <t>ORD-5334</t>
  </si>
  <si>
    <t>C2491</t>
  </si>
  <si>
    <t>ORD-5335</t>
  </si>
  <si>
    <t>ORD-5336</t>
  </si>
  <si>
    <t>ORD-5337</t>
  </si>
  <si>
    <t>C2325</t>
  </si>
  <si>
    <t>ORD-5338</t>
  </si>
  <si>
    <t>C2366</t>
  </si>
  <si>
    <t>ORD-5339</t>
  </si>
  <si>
    <t>ORD-5340</t>
  </si>
  <si>
    <t>ORD-5341</t>
  </si>
  <si>
    <t>C2272</t>
  </si>
  <si>
    <t>ORD-5342</t>
  </si>
  <si>
    <t>C2183</t>
  </si>
  <si>
    <t>ORD-5343</t>
  </si>
  <si>
    <t>ORD-5344</t>
  </si>
  <si>
    <t>C2257</t>
  </si>
  <si>
    <t>ORD-5345</t>
  </si>
  <si>
    <t>ORD-5346</t>
  </si>
  <si>
    <t>C2072</t>
  </si>
  <si>
    <t>ORD-5347</t>
  </si>
  <si>
    <t>C2293</t>
  </si>
  <si>
    <t>ORD-5348</t>
  </si>
  <si>
    <t>C2305</t>
  </si>
  <si>
    <t>ORD-5349</t>
  </si>
  <si>
    <t>C2358</t>
  </si>
  <si>
    <t>ORD-5350</t>
  </si>
  <si>
    <t>C2273</t>
  </si>
  <si>
    <t>ORD-5351</t>
  </si>
  <si>
    <t>ORD-5352</t>
  </si>
  <si>
    <t>C2214</t>
  </si>
  <si>
    <t>ORD-5353</t>
  </si>
  <si>
    <t>C2019</t>
  </si>
  <si>
    <t>ORD-5354</t>
  </si>
  <si>
    <t>ORD-5355</t>
  </si>
  <si>
    <t>ORD-5356</t>
  </si>
  <si>
    <t>C2061</t>
  </si>
  <si>
    <t>ORD-5357</t>
  </si>
  <si>
    <t>C2350</t>
  </si>
  <si>
    <t>ORD-5358</t>
  </si>
  <si>
    <t>C2448</t>
  </si>
  <si>
    <t>ORD-5359</t>
  </si>
  <si>
    <t>C2369</t>
  </si>
  <si>
    <t>ORD-5360</t>
  </si>
  <si>
    <t>C2401</t>
  </si>
  <si>
    <t>ORD-5361</t>
  </si>
  <si>
    <t>ORD-5362</t>
  </si>
  <si>
    <t>C2449</t>
  </si>
  <si>
    <t>ORD-5363</t>
  </si>
  <si>
    <t>C2098</t>
  </si>
  <si>
    <t>ORD-5364</t>
  </si>
  <si>
    <t>C2185</t>
  </si>
  <si>
    <t>ORD-5365</t>
  </si>
  <si>
    <t>ORD-5366</t>
  </si>
  <si>
    <t>C2481</t>
  </si>
  <si>
    <t>ORD-5367</t>
  </si>
  <si>
    <t>C2279</t>
  </si>
  <si>
    <t>ORD-5368</t>
  </si>
  <si>
    <t>C2138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</si>
  <si>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</si>
  <si>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</si>
  <si>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</si>
  <si>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</si>
  <si>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</si>
  <si>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</si>
  <si>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</si>
  <si>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</si>
  <si>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</si>
  <si>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</si>
  <si>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C2091</t>
  </si>
  <si>
    <t>ORD-5379</t>
  </si>
  <si>
    <t>C2395</t>
  </si>
  <si>
    <t>ORD-5380</t>
  </si>
  <si>
    <t>ORD-5381</t>
  </si>
  <si>
    <t>ORD-5382</t>
  </si>
  <si>
    <t>ORD-5383</t>
  </si>
  <si>
    <t>ORD-5384</t>
  </si>
  <si>
    <t>C2296</t>
  </si>
  <si>
    <t>ORD-5385</t>
  </si>
  <si>
    <t>ORD-5386</t>
  </si>
  <si>
    <t>ORD-5387</t>
  </si>
  <si>
    <t>C2372</t>
  </si>
  <si>
    <t>ORD-5388</t>
  </si>
  <si>
    <t>C2159</t>
  </si>
  <si>
    <t>ORD-5389</t>
  </si>
  <si>
    <t>C2104</t>
  </si>
  <si>
    <t>ORD-5390</t>
  </si>
  <si>
    <t>C2011</t>
  </si>
  <si>
    <t>ORD-5391</t>
  </si>
  <si>
    <t>ORD-5392</t>
  </si>
  <si>
    <t>ORD-5393</t>
  </si>
  <si>
    <t>C2010</t>
  </si>
  <si>
    <t>ORD-5394</t>
  </si>
  <si>
    <t>C2143</t>
  </si>
  <si>
    <t>ORD-5395</t>
  </si>
  <si>
    <t>C2243</t>
  </si>
  <si>
    <t>ORD-5396</t>
  </si>
  <si>
    <t>C2054</t>
  </si>
  <si>
    <t>ORD-5397</t>
  </si>
  <si>
    <t>ORD-5398</t>
  </si>
  <si>
    <t>C2041</t>
  </si>
  <si>
    <t>ORD-5399</t>
  </si>
  <si>
    <t>C2355</t>
  </si>
  <si>
    <t>ORD-5400</t>
  </si>
  <si>
    <t>ORD-5401</t>
  </si>
  <si>
    <t>ORD-5402</t>
  </si>
  <si>
    <t>ORD-5403</t>
  </si>
  <si>
    <t>ORD-5404</t>
  </si>
  <si>
    <t>C2048</t>
  </si>
  <si>
    <t>ORD-5405</t>
  </si>
  <si>
    <t>ORD-5406</t>
  </si>
  <si>
    <t>C2341</t>
  </si>
  <si>
    <t>ORD-5407</t>
  </si>
  <si>
    <t>C2074</t>
  </si>
  <si>
    <t>ORD-5408</t>
  </si>
  <si>
    <t>C2446</t>
  </si>
  <si>
    <t>ORD-5409</t>
  </si>
  <si>
    <t>C2171</t>
  </si>
  <si>
    <t>ORD-5410</t>
  </si>
  <si>
    <t>C2005</t>
  </si>
  <si>
    <t>ORD-5411</t>
  </si>
  <si>
    <t>ORD-5412</t>
  </si>
  <si>
    <t>ORD-5413</t>
  </si>
  <si>
    <t>ORD-5414</t>
  </si>
  <si>
    <t>C2117</t>
  </si>
  <si>
    <t>ORD-5415</t>
  </si>
  <si>
    <t>C2250</t>
  </si>
  <si>
    <t>ORD-5416</t>
  </si>
  <si>
    <t>C2067</t>
  </si>
  <si>
    <t>ORD-5417</t>
  </si>
  <si>
    <t>C2230</t>
  </si>
  <si>
    <t>ORD-5418</t>
  </si>
  <si>
    <t>ORD-5419</t>
  </si>
  <si>
    <t>C2181</t>
  </si>
  <si>
    <t>ORD-5420</t>
  </si>
  <si>
    <t>C2082</t>
  </si>
  <si>
    <t>ORD-5421</t>
  </si>
  <si>
    <t>ORD-5422</t>
  </si>
  <si>
    <t>C2500</t>
  </si>
  <si>
    <t>ORD-5423</t>
  </si>
  <si>
    <t>C2044</t>
  </si>
  <si>
    <t>ORD-5424</t>
  </si>
  <si>
    <t>C2482</t>
  </si>
  <si>
    <t>ORD-5425</t>
  </si>
  <si>
    <t>C2130</t>
  </si>
  <si>
    <t>ORD-5426</t>
  </si>
  <si>
    <t>ORD-5427</t>
  </si>
  <si>
    <t>C2029</t>
  </si>
  <si>
    <t>ORD-5428</t>
  </si>
  <si>
    <t>C2351</t>
  </si>
  <si>
    <t>ORD-5429</t>
  </si>
  <si>
    <t>ORD-5430</t>
  </si>
  <si>
    <t>ORD-5431</t>
  </si>
  <si>
    <t>C2308</t>
  </si>
  <si>
    <t>ORD-5432</t>
  </si>
  <si>
    <t>C2484</t>
  </si>
  <si>
    <t>ORD-5433</t>
  </si>
  <si>
    <t>ORD-5434</t>
  </si>
  <si>
    <t>C2465</t>
  </si>
  <si>
    <t>ORD-5435</t>
  </si>
  <si>
    <t>C2407</t>
  </si>
  <si>
    <t>ORD-5436</t>
  </si>
  <si>
    <t>ORD-5437</t>
  </si>
  <si>
    <t>ORD-5438</t>
  </si>
  <si>
    <t>C2266</t>
  </si>
  <si>
    <t>ORD-5439</t>
  </si>
  <si>
    <t>C2107</t>
  </si>
  <si>
    <t>ORD-5440</t>
  </si>
  <si>
    <t>ORD-5441</t>
  </si>
  <si>
    <t>ORD-5442</t>
  </si>
  <si>
    <t>ORD-5443</t>
  </si>
  <si>
    <t>ORD-5444</t>
  </si>
  <si>
    <t>C2281</t>
  </si>
  <si>
    <t>ORD-5445</t>
  </si>
  <si>
    <t>C2263</t>
  </si>
  <si>
    <t>ORD-5446</t>
  </si>
  <si>
    <t>C2443</t>
  </si>
  <si>
    <t>ORD-5447</t>
  </si>
  <si>
    <t>C2311</t>
  </si>
  <si>
    <t>ORD-5448</t>
  </si>
  <si>
    <t>ORD-5449</t>
  </si>
  <si>
    <t>C2092</t>
  </si>
  <si>
    <t>ORD-5450</t>
  </si>
  <si>
    <t>ORD-5451</t>
  </si>
  <si>
    <t>ORD-5452</t>
  </si>
  <si>
    <t>C2135</t>
  </si>
  <si>
    <t>ORD-5453</t>
  </si>
  <si>
    <t>C2343</t>
  </si>
  <si>
    <t>ORD-5454</t>
  </si>
  <si>
    <t>ORD-5455</t>
  </si>
  <si>
    <t>C2320</t>
  </si>
  <si>
    <t>ORD-5456</t>
  </si>
  <si>
    <t>ORD-5457</t>
  </si>
  <si>
    <t>ORD-5458</t>
  </si>
  <si>
    <t>C2422</t>
  </si>
  <si>
    <t>ORD-5459</t>
  </si>
  <si>
    <t>ORD-5460</t>
  </si>
  <si>
    <t>C2264</t>
  </si>
  <si>
    <t>ORD-5461</t>
  </si>
  <si>
    <t>C2426</t>
  </si>
  <si>
    <t>ORD-5462</t>
  </si>
  <si>
    <t>C2122</t>
  </si>
  <si>
    <t>ORD-5463</t>
  </si>
  <si>
    <t>C2370</t>
  </si>
  <si>
    <t>ORD-5464</t>
  </si>
  <si>
    <t>ORD-5465</t>
  </si>
  <si>
    <t>ORD-5466</t>
  </si>
  <si>
    <t>C2480</t>
  </si>
  <si>
    <t>ORD-5467</t>
  </si>
  <si>
    <t>C2195</t>
  </si>
  <si>
    <t>ORD-5468</t>
  </si>
  <si>
    <t>ORD-5469</t>
  </si>
  <si>
    <t>C2032</t>
  </si>
  <si>
    <t>ORD-5470</t>
  </si>
  <si>
    <t>ORD-5471</t>
  </si>
  <si>
    <t>C2100</t>
  </si>
  <si>
    <t>ORD-5472</t>
  </si>
  <si>
    <t>ORD-5473</t>
  </si>
  <si>
    <t>ORD-5474</t>
  </si>
  <si>
    <t>C2227</t>
  </si>
  <si>
    <t>ORD-5475</t>
  </si>
  <si>
    <t>C2085</t>
  </si>
  <si>
    <t>ORD-5476</t>
  </si>
  <si>
    <t>C2463</t>
  </si>
  <si>
    <t>ORD-5477</t>
  </si>
  <si>
    <t>ORD-5478</t>
  </si>
  <si>
    <t>ORD-5479</t>
  </si>
  <si>
    <t>C2148</t>
  </si>
  <si>
    <t>ORD-5480</t>
  </si>
  <si>
    <t>C2388</t>
  </si>
  <si>
    <t>ORD-5481</t>
  </si>
  <si>
    <t>ORD-5482</t>
  </si>
  <si>
    <t>C2413</t>
  </si>
  <si>
    <t>ORD-5483</t>
  </si>
  <si>
    <t>C2368</t>
  </si>
  <si>
    <t>ORD-5484</t>
  </si>
  <si>
    <t>ORD-5485</t>
  </si>
  <si>
    <t>ORD-5486</t>
  </si>
  <si>
    <t>C2177</t>
  </si>
  <si>
    <t>ORD-5487</t>
  </si>
  <si>
    <t>C2314</t>
  </si>
  <si>
    <t>ORD-5488</t>
  </si>
  <si>
    <t>ORD-5489</t>
  </si>
  <si>
    <t>C2191</t>
  </si>
  <si>
    <t>ORD-5490</t>
  </si>
  <si>
    <t>ORD-5491</t>
  </si>
  <si>
    <t>ORD-5492</t>
  </si>
  <si>
    <t>C2313</t>
  </si>
  <si>
    <t>ORD-5493</t>
  </si>
  <si>
    <t>C2307</t>
  </si>
  <si>
    <t>ORD-5494</t>
  </si>
  <si>
    <t>ORD-5495</t>
  </si>
  <si>
    <t>ORD-5496</t>
  </si>
  <si>
    <t>ORD-5497</t>
  </si>
  <si>
    <t>C2356</t>
  </si>
  <si>
    <t>ORD-5498</t>
  </si>
  <si>
    <t>ORD-5499</t>
  </si>
  <si>
    <t>ORD-5500</t>
  </si>
  <si>
    <t>Customer ID</t>
  </si>
  <si>
    <t>Customer Name</t>
  </si>
  <si>
    <t>Liam Carter</t>
  </si>
  <si>
    <t>Noah Bennett</t>
  </si>
  <si>
    <t>Oliver Hayes</t>
  </si>
  <si>
    <t>Elijah Brooks</t>
  </si>
  <si>
    <t>James Cooper</t>
  </si>
  <si>
    <t>William Foster</t>
  </si>
  <si>
    <t>Benjamin Ross</t>
  </si>
  <si>
    <t>Lucas Reed</t>
  </si>
  <si>
    <t>Henry Morgan</t>
  </si>
  <si>
    <t>Alexander Scott</t>
  </si>
  <si>
    <t>Emma Watson</t>
  </si>
  <si>
    <t>Olivia Turner</t>
  </si>
  <si>
    <t>Ava Mitchell</t>
  </si>
  <si>
    <t>Sophia Parker</t>
  </si>
  <si>
    <t>Isabella Collins</t>
  </si>
  <si>
    <t>Mia Edwards</t>
  </si>
  <si>
    <t>Charlotte Morris</t>
  </si>
  <si>
    <t>Amelia Rogers</t>
  </si>
  <si>
    <t>Harper Cook</t>
  </si>
  <si>
    <t>Evelyn Bell</t>
  </si>
  <si>
    <t>Daniel Walker</t>
  </si>
  <si>
    <t>Micheal Gray</t>
  </si>
  <si>
    <t>Ethan Ward</t>
  </si>
  <si>
    <t>Jacob Cox</t>
  </si>
  <si>
    <t>Logan Price</t>
  </si>
  <si>
    <t>Chloe Simmons</t>
  </si>
  <si>
    <t>Lily Butler</t>
  </si>
  <si>
    <t>Grace Hughes</t>
  </si>
  <si>
    <t>Zoe Bryant</t>
  </si>
  <si>
    <t>Hannah Perry</t>
  </si>
  <si>
    <t>Product Name</t>
  </si>
  <si>
    <t>Category</t>
  </si>
  <si>
    <t>Laptop</t>
  </si>
  <si>
    <t>Electronics</t>
  </si>
  <si>
    <t>Smartphone</t>
  </si>
  <si>
    <t>Tablet</t>
  </si>
  <si>
    <t>Headphones</t>
  </si>
  <si>
    <t>Camera</t>
  </si>
  <si>
    <t>Printer</t>
  </si>
  <si>
    <t>Monitor</t>
  </si>
  <si>
    <t>Keyboard</t>
  </si>
  <si>
    <t>Mouse</t>
  </si>
  <si>
    <t>Chair</t>
  </si>
  <si>
    <t>Furniture</t>
  </si>
  <si>
    <t>Table</t>
  </si>
  <si>
    <t>Sofa</t>
  </si>
  <si>
    <t>Bed</t>
  </si>
  <si>
    <t>Wardrobe</t>
  </si>
  <si>
    <t>Shoes</t>
  </si>
  <si>
    <t>T-Shirt</t>
  </si>
  <si>
    <t>Fashion</t>
  </si>
  <si>
    <t>Jeans</t>
  </si>
  <si>
    <t>Watch</t>
  </si>
  <si>
    <t>Accessories</t>
  </si>
  <si>
    <t>Bag</t>
  </si>
  <si>
    <t>Sunglasses</t>
  </si>
  <si>
    <t>Belt</t>
  </si>
  <si>
    <t>Bottle</t>
  </si>
  <si>
    <t>Home</t>
  </si>
  <si>
    <t>Lamp</t>
  </si>
  <si>
    <t>Jacket</t>
  </si>
  <si>
    <t>Month</t>
  </si>
  <si>
    <t>SUM of TotalSale</t>
  </si>
  <si>
    <t>Grand Total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</si>
  <si>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</si>
  <si>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</si>
  <si>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</si>
  <si>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</si>
  <si>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</si>
  <si>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</si>
  <si>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</si>
  <si>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</si>
  <si>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</si>
  <si>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</si>
  <si>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</si>
  <si>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</si>
  <si>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Rank</t>
  </si>
  <si>
    <t>Cumulative Sales</t>
  </si>
  <si>
    <t>Total Sales</t>
  </si>
  <si>
    <t>Cumulative%</t>
  </si>
  <si>
    <t>Top 20% Flag</t>
  </si>
  <si>
    <t>Total Revenue</t>
  </si>
  <si>
    <t>Total Orders</t>
  </si>
  <si>
    <t>Avg Order Value</t>
  </si>
  <si>
    <t>INSIGHTS</t>
  </si>
  <si>
    <t>Overall Sales Performance</t>
  </si>
  <si>
    <t>The total sales generated from the dataset is 330,425.60, representing the overall revenue for the observed period.</t>
  </si>
  <si>
    <t>Customer Contribution</t>
  </si>
  <si>
    <t>The analysis reveals that a singke customer contributes approximately 90% of the total revenue, indicating an extremly high concentration of sales.</t>
  </si>
  <si>
    <t xml:space="preserve">Pareto Observation </t>
  </si>
  <si>
    <t>The standard Pareto principle (80/20 rule) is not applicable in this dataset, as the top contributor alone exceeds the 80% threshold.</t>
  </si>
  <si>
    <t>Revenue Distribution</t>
  </si>
  <si>
    <t>Sales distribution is highly uneven, with a steep drop after the top customer showing minimal contribution from the remaining customers.</t>
  </si>
  <si>
    <t>Business Risk Insight</t>
  </si>
  <si>
    <t>The business is heavily dependent on a single customer, which introduces significant risk if that customer reduces or stops transactions.</t>
  </si>
  <si>
    <t>Growth Opportunity</t>
  </si>
  <si>
    <t>There is substantial opportunity to improve revenue diversification by increasing engagement with mid-tier &amp; low-performing customers.</t>
  </si>
  <si>
    <t xml:space="preserve">Strategic  Recommendation </t>
  </si>
  <si>
    <t>The business should focus on reducing relying on the top customer by expanding the customer base &amp; improving sales distribution.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</si>
</sst>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1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4" xfId="0" applyFont="1" applyNumberFormat="1"/>
    <xf borderId="1" fillId="0" fontId="1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TotalSale vs.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'Sales by Region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Region '!$A$2:$A$6</c:f>
            </c:strRef>
          </c:cat>
          <c:val>
            <c:numRef>
              <c:f>'Sales by Region '!$B$2:$B$6</c:f>
              <c:numCache/>
            </c:numRef>
          </c:val>
        </c:ser>
        <c:axId val="1542595967"/>
        <c:axId val="1895360094"/>
      </c:barChart>
      <c:catAx>
        <c:axId val="15425959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360094"/>
      </c:catAx>
      <c:valAx>
        <c:axId val="18953600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5959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 by Month'!$B$1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 by Month'!$A$2:$A$13</c:f>
            </c:strRef>
          </c:cat>
          <c:val>
            <c:numRef>
              <c:f>'Sales  by Month'!$B$2:$B$13</c:f>
              <c:numCache/>
            </c:numRef>
          </c:val>
          <c:smooth val="0"/>
        </c:ser>
        <c:axId val="409856904"/>
        <c:axId val="1324561014"/>
      </c:lineChart>
      <c:catAx>
        <c:axId val="409856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561014"/>
      </c:catAx>
      <c:valAx>
        <c:axId val="1324561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856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Category'!$A$2:$A$7</c:f>
            </c:strRef>
          </c:cat>
          <c:val>
            <c:numRef>
              <c:f>'Sales by Category'!$B$2:$B$7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4552950" cy="2819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2</xdr:row>
      <xdr:rowOff>180975</xdr:rowOff>
    </xdr:from>
    <xdr:ext cx="457200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200025</xdr:colOff>
      <xdr:row>2</xdr:row>
      <xdr:rowOff>180975</xdr:rowOff>
    </xdr:from>
    <xdr:ext cx="4572000" cy="2828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1" sheet="FinalData"/>
  </cacheSource>
  <cacheFields>
    <cacheField name="OrderID" numFmtId="0">
      <sharedItems>
        <s v="ORD-5001"/>
        <s v="ORD-5002"/>
        <s v="ORD-5003"/>
        <s v="ORD-5004"/>
        <s v="ORD-5005"/>
        <s v="ORD-5006"/>
        <s v="ORD-5007"/>
        <s v="ORD-5008"/>
        <s v="ORD-5009"/>
        <s v="ORD-5010"/>
        <s v="ORD-5011"/>
        <s v="ORD-5012"/>
        <s v="ORD-5013"/>
        <s v="ORD-5014"/>
        <s v="ORD-5015"/>
        <s v="ORD-5016"/>
        <s v="ORD-5017"/>
        <s v="ORD-5018"/>
        <s v="ORD-5019"/>
        <s v="ORD-5020"/>
        <s v="ORD-5021"/>
        <s v="ORD-5022"/>
        <s v="ORD-5023"/>
        <s v="ORD-5024"/>
        <s v="ORD-5025"/>
        <s v="ORD-5026"/>
        <s v="ORD-5027"/>
        <s v="ORD-5028"/>
        <s v="ORD-5029"/>
        <s v="ORD-5030"/>
        <s v="ORD-5031"/>
        <s v="ORD-5032"/>
        <s v="ORD-5033"/>
        <s v="ORD-5034"/>
        <s v="ORD-5035"/>
        <s v="ORD-5036"/>
        <s v="ORD-5037"/>
        <s v="ORD-5038"/>
        <s v="ORD-5039"/>
        <s v="ORD-5040"/>
        <s v="ORD-5041"/>
        <s v="ORD-5042"/>
        <s v="ORD-5043"/>
        <s v="ORD-5044"/>
        <s v="ORD-5045"/>
        <s v="ORD-5046"/>
        <s v="ORD-5047"/>
        <s v="ORD-5048"/>
        <s v="ORD-5049"/>
        <s v="ORD-5050"/>
        <s v="ORD-5051"/>
        <s v="ORD-5052"/>
        <s v="ORD-5053"/>
        <s v="ORD-5054"/>
        <s v="ORD-5055"/>
        <s v="ORD-5056"/>
        <s v="ORD-5057"/>
        <s v="ORD-5058"/>
        <s v="ORD-5059"/>
        <s v="ORD-5060"/>
        <s v="ORD-5061"/>
        <s v="ORD-5062"/>
        <s v="ORD-5063"/>
        <s v="ORD-5064"/>
        <s v="ORD-5065"/>
        <s v="ORD-5066"/>
        <s v="ORD-5067"/>
        <s v="ORD-5068"/>
        <s v="ORD-5069"/>
        <s v="ORD-5070"/>
        <s v="ORD-5071"/>
        <s v="ORD-5072"/>
        <s v="ORD-5073"/>
        <s v="ORD-5074"/>
        <s v="ORD-5075"/>
        <s v="ORD-5076"/>
        <s v="ORD-5077"/>
        <s v="ORD-5078"/>
        <s v="ORD-5079"/>
        <s v="ORD-5080"/>
        <s v="ORD-5081"/>
        <s v="ORD-5082"/>
        <s v="ORD-5083"/>
        <s v="ORD-5084"/>
        <s v="ORD-5085"/>
        <s v="ORD-5086"/>
        <s v="ORD-5087"/>
        <s v="ORD-5088"/>
        <s v="ORD-5089"/>
        <s v="ORD-5090"/>
        <s v="ORD-5091"/>
        <s v="ORD-5092"/>
        <s v="ORD-5093"/>
        <s v="ORD-5094"/>
        <s v="ORD-5095"/>
        <s v="ORD-5096"/>
        <s v="ORD-5097"/>
        <s v="ORD-5098"/>
        <s v="ORD-5099"/>
        <s v="ORD-5100"/>
        <s v="ORD-5101"/>
        <s v="ORD-5102"/>
        <s v="ORD-5103"/>
        <s v="ORD-5104"/>
        <s v="ORD-5105"/>
        <s v="ORD-5106"/>
        <s v="ORD-5107"/>
        <s v="ORD-5108"/>
        <s v="ORD-5109"/>
        <s v="ORD-5110"/>
        <s v="ORD-5111"/>
        <s v="ORD-5112"/>
        <s v="ORD-5113"/>
        <s v="ORD-5114"/>
        <s v="ORD-5115"/>
        <s v="ORD-5116"/>
        <s v="ORD-5117"/>
        <s v="ORD-5118"/>
        <s v="ORD-5119"/>
        <s v="ORD-5120"/>
        <s v="ORD-5121"/>
        <s v="ORD-5122"/>
        <s v="ORD-5123"/>
        <s v="ORD-5124"/>
        <s v="ORD-5125"/>
        <s v="ORD-5126"/>
        <s v="ORD-5127"/>
        <s v="ORD-5128"/>
        <s v="ORD-5129"/>
        <s v="ORD-5130"/>
        <s v="ORD-5131"/>
        <s v="ORD-5132"/>
        <s v="ORD-5133"/>
        <s v="ORD-5134"/>
        <s v="ORD-5135"/>
        <s v="ORD-5136"/>
        <s v="ORD-5137"/>
        <s v="ORD-5138"/>
        <s v="ORD-5139"/>
        <s v="ORD-5140"/>
        <s v="ORD-5141"/>
        <s v="ORD-5142"/>
        <s v="ORD-5143"/>
        <s v="ORD-5144"/>
        <s v="ORD-5145"/>
        <s v="ORD-5146"/>
        <s v="ORD-5147"/>
        <s v="ORD-5148"/>
        <s v="ORD-5149"/>
        <s v="ORD-5150"/>
        <s v="ORD-5151"/>
        <s v="ORD-5152"/>
        <s v="ORD-5153"/>
        <s v="ORD-5154"/>
        <s v="ORD-5155"/>
        <s v="ORD-5156"/>
        <s v="ORD-5157"/>
        <s v="ORD-5158"/>
        <s v="ORD-5159"/>
        <s v="ORD-5160"/>
        <s v="ORD-5161"/>
        <s v="ORD-5162"/>
        <s v="ORD-5163"/>
        <s v="ORD-5164"/>
        <s v="ORD-5165"/>
        <s v="ORD-5166"/>
        <s v="ORD-5167"/>
        <s v="ORD-5168"/>
        <s v="ORD-5169"/>
        <s v="ORD-5170"/>
        <s v="ORD-5171"/>
        <s v="ORD-5172"/>
        <s v="ORD-5173"/>
        <s v="ORD-5174"/>
        <s v="ORD-5175"/>
        <s v="ORD-5176"/>
        <s v="ORD-5177"/>
        <s v="ORD-5178"/>
        <s v="ORD-5179"/>
        <s v="ORD-5180"/>
        <s v="ORD-5181"/>
        <s v="ORD-5182"/>
        <s v="ORD-5183"/>
        <s v="ORD-5184"/>
        <s v="ORD-5185"/>
        <s v="ORD-5186"/>
        <s v="ORD-5187"/>
        <s v="ORD-5188"/>
        <s v="ORD-5189"/>
        <s v="ORD-5190"/>
        <s v="ORD-5191"/>
        <s v="ORD-5192"/>
        <s v="ORD-5193"/>
        <s v="ORD-5194"/>
        <s v="ORD-5195"/>
        <s v="ORD-5196"/>
        <s v="ORD-5197"/>
        <s v="ORD-5198"/>
        <s v="ORD-5199"/>
        <s v="ORD-5200"/>
        <s v="ORD-5201"/>
        <s v="ORD-5202"/>
        <s v="ORD-5203"/>
        <s v="ORD-5204"/>
        <s v="ORD-5205"/>
        <s v="ORD-5206"/>
        <s v="ORD-5207"/>
        <s v="ORD-5208"/>
        <s v="ORD-5209"/>
        <s v="ORD-5210"/>
        <s v="ORD-5211"/>
        <s v="ORD-5212"/>
        <s v="ORD-5213"/>
        <s v="ORD-5214"/>
        <s v="ORD-5215"/>
        <s v="ORD-5216"/>
        <s v="ORD-5217"/>
        <s v="ORD-5218"/>
        <s v="ORD-5219"/>
        <s v="ORD-5220"/>
        <s v="ORD-5221"/>
        <s v="ORD-5222"/>
        <s v="ORD-5223"/>
        <s v="ORD-5224"/>
        <s v="ORD-5225"/>
        <s v="ORD-5226"/>
        <s v="ORD-5227"/>
        <s v="ORD-5228"/>
        <s v="ORD-5229"/>
        <s v="ORD-5230"/>
        <s v="ORD-5231"/>
        <s v="ORD-5232"/>
        <s v="ORD-5233"/>
        <s v="ORD-5234"/>
        <s v="ORD-5235"/>
        <s v="ORD-5236"/>
        <s v="ORD-5237"/>
        <s v="ORD-5238"/>
        <s v="ORD-5239"/>
        <s v="ORD-5240"/>
        <s v="ORD-5241"/>
        <s v="ORD-5242"/>
        <s v="ORD-5243"/>
        <s v="ORD-5244"/>
        <s v="ORD-5245"/>
        <s v="ORD-5246"/>
        <s v="ORD-5247"/>
        <s v="ORD-5248"/>
        <s v="ORD-5249"/>
        <s v="ORD-5250"/>
        <s v="ORD-5251"/>
        <s v="ORD-5252"/>
        <s v="ORD-5253"/>
        <s v="ORD-5254"/>
        <s v="ORD-5255"/>
        <s v="ORD-5256"/>
        <s v="ORD-5257"/>
        <s v="ORD-5258"/>
        <s v="ORD-5259"/>
        <s v="ORD-5260"/>
        <s v="ORD-5261"/>
        <s v="ORD-5262"/>
        <s v="ORD-5263"/>
        <s v="ORD-5264"/>
        <s v="ORD-5265"/>
        <s v="ORD-5266"/>
        <s v="ORD-5267"/>
        <s v="ORD-5268"/>
        <s v="ORD-5269"/>
        <s v="ORD-5270"/>
        <s v="ORD-5271"/>
        <s v="ORD-5272"/>
        <s v="ORD-5273"/>
        <s v="ORD-5274"/>
        <s v="ORD-5275"/>
        <s v="ORD-5276"/>
        <s v="ORD-5277"/>
        <s v="ORD-5278"/>
        <s v="ORD-5279"/>
        <s v="ORD-5280"/>
        <s v="ORD-5281"/>
        <s v="ORD-5282"/>
        <s v="ORD-5283"/>
        <s v="ORD-5284"/>
        <s v="ORD-5285"/>
        <s v="ORD-5286"/>
        <s v="ORD-5287"/>
        <s v="ORD-5288"/>
        <s v="ORD-5289"/>
        <s v="ORD-5290"/>
        <s v="ORD-5291"/>
        <s v="ORD-5292"/>
        <s v="ORD-5293"/>
        <s v="ORD-5294"/>
        <s v="ORD-5295"/>
        <s v="ORD-5296"/>
        <s v="ORD-5297"/>
        <s v="ORD-5298"/>
        <s v="ORD-5299"/>
        <s v="ORD-5300"/>
        <s v="ORD-5301"/>
        <s v="ORD-5302"/>
        <s v="ORD-5303"/>
        <s v="ORD-5304"/>
        <s v="ORD-5305"/>
        <s v="ORD-5306"/>
        <s v="ORD-5307"/>
        <s v="ORD-5308"/>
        <s v="ORD-5309"/>
        <s v="ORD-5310"/>
        <s v="ORD-5311"/>
        <s v="ORD-5312"/>
        <s v="ORD-5313"/>
        <s v="ORD-5314"/>
        <s v="ORD-5315"/>
        <s v="ORD-5316"/>
        <s v="ORD-5317"/>
        <s v="ORD-5318"/>
        <s v="ORD-5319"/>
        <s v="ORD-5320"/>
        <s v="ORD-5321"/>
        <s v="ORD-5322"/>
        <s v="ORD-5323"/>
        <s v="ORD-5324"/>
        <s v="ORD-5325"/>
        <s v="ORD-5326"/>
        <s v="ORD-5327"/>
        <s v="ORD-5328"/>
        <s v="ORD-5329"/>
        <s v="ORD-5330"/>
        <s v="ORD-5331"/>
        <s v="ORD-5332"/>
        <s v="ORD-5333"/>
        <s v="ORD-5334"/>
        <s v="ORD-5335"/>
        <s v="ORD-5336"/>
        <s v="ORD-5337"/>
        <s v="ORD-5338"/>
        <s v="ORD-5339"/>
        <s v="ORD-5340"/>
        <s v="ORD-5341"/>
        <s v="ORD-5342"/>
        <s v="ORD-5343"/>
        <s v="ORD-5344"/>
        <s v="ORD-5345"/>
        <s v="ORD-5346"/>
        <s v="ORD-5347"/>
        <s v="ORD-5348"/>
        <s v="ORD-5349"/>
        <s v="ORD-5350"/>
        <s v="ORD-5351"/>
        <s v="ORD-5352"/>
        <s v="ORD-5353"/>
        <s v="ORD-5354"/>
        <s v="ORD-5355"/>
        <s v="ORD-5356"/>
        <s v="ORD-5357"/>
        <s v="ORD-5358"/>
        <s v="ORD-5359"/>
        <s v="ORD-5360"/>
        <s v="ORD-5361"/>
        <s v="ORD-5362"/>
        <s v="ORD-5363"/>
        <s v="ORD-5364"/>
        <s v="ORD-5365"/>
        <s v="ORD-5366"/>
        <s v="ORD-5367"/>
        <s v="ORD-5368"/>
        <s v="ORD-5369"/>
        <s v="ORD-5370"/>
        <s v="ORD-5371"/>
        <s v="ORD-5372"/>
        <s v="ORD-5373"/>
        <s v="ORD-5374"/>
        <s v="ORD-5375"/>
        <s v="ORD-5376"/>
        <s v="ORD-5377"/>
        <s v="ORD-5378"/>
        <s v="ORD-5379"/>
        <s v="ORD-5380"/>
        <s v="ORD-5381"/>
        <s v="ORD-5382"/>
        <s v="ORD-5383"/>
        <s v="ORD-5384"/>
        <s v="ORD-5385"/>
        <s v="ORD-5386"/>
        <s v="ORD-5387"/>
        <s v="ORD-5388"/>
        <s v="ORD-5389"/>
        <s v="ORD-5390"/>
        <s v="ORD-5391"/>
        <s v="ORD-5392"/>
        <s v="ORD-5393"/>
        <s v="ORD-5394"/>
        <s v="ORD-5395"/>
        <s v="ORD-5396"/>
        <s v="ORD-5397"/>
        <s v="ORD-5398"/>
        <s v="ORD-5399"/>
        <s v="ORD-5400"/>
        <s v="ORD-5401"/>
        <s v="ORD-5402"/>
        <s v="ORD-5403"/>
        <s v="ORD-5404"/>
        <s v="ORD-5405"/>
        <s v="ORD-5406"/>
        <s v="ORD-5407"/>
        <s v="ORD-5408"/>
        <s v="ORD-5409"/>
        <s v="ORD-5410"/>
        <s v="ORD-5411"/>
        <s v="ORD-5412"/>
        <s v="ORD-5413"/>
        <s v="ORD-5414"/>
        <s v="ORD-5415"/>
        <s v="ORD-5416"/>
        <s v="ORD-5417"/>
        <s v="ORD-5418"/>
        <s v="ORD-5419"/>
        <s v="ORD-5420"/>
        <s v="ORD-5421"/>
        <s v="ORD-5422"/>
        <s v="ORD-5423"/>
        <s v="ORD-5424"/>
        <s v="ORD-5425"/>
        <s v="ORD-5426"/>
        <s v="ORD-5427"/>
        <s v="ORD-5428"/>
        <s v="ORD-5429"/>
        <s v="ORD-5430"/>
        <s v="ORD-5431"/>
        <s v="ORD-5432"/>
        <s v="ORD-5433"/>
        <s v="ORD-5434"/>
        <s v="ORD-5435"/>
        <s v="ORD-5436"/>
        <s v="ORD-5437"/>
        <s v="ORD-5438"/>
        <s v="ORD-5439"/>
        <s v="ORD-5440"/>
        <s v="ORD-5441"/>
        <s v="ORD-5442"/>
        <s v="ORD-5443"/>
        <s v="ORD-5444"/>
        <s v="ORD-5445"/>
        <s v="ORD-5446"/>
        <s v="ORD-5447"/>
        <s v="ORD-5448"/>
        <s v="ORD-5449"/>
        <s v="ORD-5450"/>
        <s v="ORD-5451"/>
        <s v="ORD-5452"/>
        <s v="ORD-5453"/>
        <s v="ORD-5454"/>
        <s v="ORD-5455"/>
        <s v="ORD-5456"/>
        <s v="ORD-5457"/>
        <s v="ORD-5458"/>
        <s v="ORD-5459"/>
        <s v="ORD-5460"/>
        <s v="ORD-5461"/>
        <s v="ORD-5462"/>
        <s v="ORD-5463"/>
        <s v="ORD-5464"/>
        <s v="ORD-5465"/>
        <s v="ORD-5466"/>
        <s v="ORD-5467"/>
        <s v="ORD-5468"/>
        <s v="ORD-5469"/>
        <s v="ORD-5470"/>
        <s v="ORD-5471"/>
        <s v="ORD-5472"/>
        <s v="ORD-5473"/>
        <s v="ORD-5474"/>
        <s v="ORD-5475"/>
        <s v="ORD-5476"/>
        <s v="ORD-5477"/>
        <s v="ORD-5478"/>
        <s v="ORD-5479"/>
        <s v="ORD-5480"/>
        <s v="ORD-5481"/>
        <s v="ORD-5482"/>
        <s v="ORD-5483"/>
        <s v="ORD-5484"/>
        <s v="ORD-5485"/>
        <s v="ORD-5486"/>
        <s v="ORD-5487"/>
        <s v="ORD-5488"/>
        <s v="ORD-5489"/>
        <s v="ORD-5490"/>
        <s v="ORD-5491"/>
        <s v="ORD-5492"/>
        <s v="ORD-5493"/>
        <s v="ORD-5494"/>
        <s v="ORD-5495"/>
        <s v="ORD-5496"/>
        <s v="ORD-5497"/>
        <s v="ORD-5498"/>
        <s v="ORD-5499"/>
        <s v="ORD-5500"/>
      </sharedItems>
    </cacheField>
    <cacheField name="OrderDate" numFmtId="164">
      <sharedItems containsSemiMixedTypes="0" containsDate="1" containsString="0">
        <d v="2022-02-07T00:00:00Z"/>
        <d v="2023-05-05T00:00:00Z"/>
        <d v="2025-05-11T00:00:00Z"/>
        <d v="2025-10-13T00:00:00Z"/>
        <d v="2025-04-19T00:00:00Z"/>
        <d v="2023-06-26T00:00:00Z"/>
        <d v="2022-03-29T00:00:00Z"/>
        <d v="2022-07-04T00:00:00Z"/>
        <d v="2025-07-26T00:00:00Z"/>
        <d v="2022-03-27T00:00:00Z"/>
        <d v="2023-04-16T00:00:00Z"/>
        <d v="2022-09-25T00:00:00Z"/>
        <d v="2026-02-02T00:00:00Z"/>
        <d v="2025-08-14T00:00:00Z"/>
        <d v="2023-02-03T00:00:00Z"/>
        <d v="2024-05-12T00:00:00Z"/>
        <d v="2023-08-14T00:00:00Z"/>
        <d v="2022-05-30T00:00:00Z"/>
        <d v="2024-05-07T00:00:00Z"/>
        <d v="2023-05-08T00:00:00Z"/>
        <d v="2025-11-07T00:00:00Z"/>
        <d v="2023-02-18T00:00:00Z"/>
        <d v="2024-12-31T00:00:00Z"/>
        <d v="2025-11-14T00:00:00Z"/>
        <d v="2024-08-28T00:00:00Z"/>
        <d v="2022-11-17T00:00:00Z"/>
        <d v="2025-10-05T00:00:00Z"/>
        <d v="2023-04-24T00:00:00Z"/>
        <d v="2025-01-23T00:00:00Z"/>
        <d v="2025-07-10T00:00:00Z"/>
        <d v="2022-12-24T00:00:00Z"/>
        <d v="2025-08-22T00:00:00Z"/>
        <d v="2023-04-01T00:00:00Z"/>
        <d v="2025-04-21T00:00:00Z"/>
        <d v="2022-11-02T00:00:00Z"/>
        <d v="2023-02-26T00:00:00Z"/>
        <d v="2025-01-19T00:00:00Z"/>
        <d v="2023-06-15T00:00:00Z"/>
        <d v="2022-01-30T00:00:00Z"/>
        <d v="2025-12-09T00:00:00Z"/>
        <d v="2024-05-22T00:00:00Z"/>
        <d v="2024-09-28T00:00:00Z"/>
        <d v="2025-02-22T00:00:00Z"/>
        <d v="2023-03-19T00:00:00Z"/>
        <d v="2022-01-06T00:00:00Z"/>
        <d v="2022-04-19T00:00:00Z"/>
        <d v="2024-02-24T00:00:00Z"/>
        <d v="2023-01-14T00:00:00Z"/>
        <d v="2023-04-02T00:00:00Z"/>
        <d v="2023-10-23T00:00:00Z"/>
        <d v="2025-06-03T00:00:00Z"/>
        <d v="2024-08-27T00:00:00Z"/>
        <d v="2025-08-10T00:00:00Z"/>
        <d v="2022-01-22T00:00:00Z"/>
        <d v="2024-10-04T00:00:00Z"/>
        <d v="2022-09-24T00:00:00Z"/>
        <d v="2023-09-04T00:00:00Z"/>
        <d v="2025-10-27T00:00:00Z"/>
        <d v="2025-07-03T00:00:00Z"/>
        <d v="2024-02-10T00:00:00Z"/>
        <d v="2024-01-16T00:00:00Z"/>
        <d v="2026-01-14T00:00:00Z"/>
        <d v="2023-12-24T00:00:00Z"/>
        <d v="2024-01-19T00:00:00Z"/>
        <d v="2022-12-07T00:00:00Z"/>
        <d v="2025-11-20T00:00:00Z"/>
        <d v="2024-03-23T00:00:00Z"/>
        <d v="2024-09-26T00:00:00Z"/>
        <d v="2022-11-15T00:00:00Z"/>
        <d v="2025-11-18T00:00:00Z"/>
        <d v="2023-06-24T00:00:00Z"/>
        <d v="2025-08-11T00:00:00Z"/>
        <d v="2023-05-30T00:00:00Z"/>
        <d v="2023-09-12T00:00:00Z"/>
        <d v="2022-07-16T00:00:00Z"/>
        <d v="2022-06-19T00:00:00Z"/>
        <d v="2023-04-11T00:00:00Z"/>
        <d v="2025-05-09T00:00:00Z"/>
        <d v="2023-09-15T00:00:00Z"/>
        <d v="2025-04-04T00:00:00Z"/>
        <d v="2022-07-07T00:00:00Z"/>
        <d v="2025-11-17T00:00:00Z"/>
        <d v="2022-10-12T00:00:00Z"/>
        <d v="2025-08-03T00:00:00Z"/>
        <d v="2023-11-14T00:00:00Z"/>
        <d v="2023-03-27T00:00:00Z"/>
        <d v="2024-07-09T00:00:00Z"/>
        <d v="2023-02-23T00:00:00Z"/>
        <d v="2022-11-29T00:00:00Z"/>
        <d v="2023-03-12T00:00:00Z"/>
        <d v="2022-05-12T00:00:00Z"/>
        <d v="2023-01-03T00:00:00Z"/>
        <d v="2024-01-09T00:00:00Z"/>
        <d v="2022-04-10T00:00:00Z"/>
        <d v="2025-05-22T00:00:00Z"/>
        <d v="2025-01-21T00:00:00Z"/>
        <d v="2025-02-09T00:00:00Z"/>
        <d v="2023-09-10T00:00:00Z"/>
        <d v="2023-11-11T00:00:00Z"/>
        <d v="2023-07-16T00:00:00Z"/>
        <d v="2025-12-04T00:00:00Z"/>
        <d v="2024-03-12T00:00:00Z"/>
        <d v="2023-02-01T00:00:00Z"/>
        <d v="2022-02-27T00:00:00Z"/>
        <d v="2022-08-13T00:00:00Z"/>
        <d v="2023-09-02T00:00:00Z"/>
        <d v="2022-03-23T00:00:00Z"/>
        <d v="2024-07-19T00:00:00Z"/>
        <d v="2022-02-10T00:00:00Z"/>
        <d v="2024-04-25T00:00:00Z"/>
        <d v="2022-09-22T00:00:00Z"/>
        <d v="2025-11-15T00:00:00Z"/>
        <d v="2026-01-07T00:00:00Z"/>
        <d v="2022-06-15T00:00:00Z"/>
        <d v="2024-01-01T00:00:00Z"/>
        <d v="2024-09-19T00:00:00Z"/>
        <d v="2022-05-09T00:00:00Z"/>
        <d v="2022-04-18T00:00:00Z"/>
        <d v="2023-01-30T00:00:00Z"/>
        <d v="2022-06-24T00:00:00Z"/>
        <d v="2022-04-26T00:00:00Z"/>
        <d v="2023-08-08T00:00:00Z"/>
        <d v="2025-05-23T00:00:00Z"/>
        <d v="2025-06-22T00:00:00Z"/>
        <d v="2024-06-03T00:00:00Z"/>
        <d v="2023-07-05T00:00:00Z"/>
        <d v="2023-05-14T00:00:00Z"/>
        <d v="2022-12-30T00:00:00Z"/>
        <d v="2024-02-20T00:00:00Z"/>
        <d v="2025-01-31T00:00:00Z"/>
        <d v="2023-09-07T00:00:00Z"/>
        <d v="2024-12-27T00:00:00Z"/>
        <d v="2022-04-21T00:00:00Z"/>
        <d v="2025-08-01T00:00:00Z"/>
        <d v="2023-05-23T00:00:00Z"/>
        <d v="2025-09-06T00:00:00Z"/>
        <d v="2023-09-29T00:00:00Z"/>
        <d v="2024-06-07T00:00:00Z"/>
        <d v="2022-05-05T00:00:00Z"/>
        <d v="2025-09-28T00:00:00Z"/>
        <d v="2025-10-18T00:00:00Z"/>
        <d v="2023-03-13T00:00:00Z"/>
        <d v="2022-02-18T00:00:00Z"/>
        <d v="2023-07-10T00:00:00Z"/>
        <d v="2022-03-24T00:00:00Z"/>
        <d v="2024-02-16T00:00:00Z"/>
        <d v="2025-03-06T00:00:00Z"/>
        <d v="2023-03-09T00:00:00Z"/>
        <d v="2024-12-15T00:00:00Z"/>
        <d v="2022-07-20T00:00:00Z"/>
        <d v="2025-09-18T00:00:00Z"/>
        <d v="2024-12-01T00:00:00Z"/>
        <d v="2022-12-02T00:00:00Z"/>
        <d v="2026-01-02T00:00:00Z"/>
        <d v="2022-05-08T00:00:00Z"/>
        <d v="2023-02-24T00:00:00Z"/>
        <d v="2024-03-06T00:00:00Z"/>
        <d v="2023-04-08T00:00:00Z"/>
        <d v="2023-06-11T00:00:00Z"/>
        <d v="2023-08-29T00:00:00Z"/>
        <d v="2025-09-29T00:00:00Z"/>
        <d v="2023-08-22T00:00:00Z"/>
        <d v="2023-06-18T00:00:00Z"/>
        <d v="2022-07-08T00:00:00Z"/>
        <d v="2022-12-05T00:00:00Z"/>
        <d v="2025-03-26T00:00:00Z"/>
        <d v="2025-01-09T00:00:00Z"/>
        <d v="2024-01-31T00:00:00Z"/>
        <d v="2023-07-04T00:00:00Z"/>
        <d v="2024-11-11T00:00:00Z"/>
        <d v="2024-03-04T00:00:00Z"/>
        <d v="2026-02-17T00:00:00Z"/>
        <d v="2022-02-16T00:00:00Z"/>
        <d v="2025-10-15T00:00:00Z"/>
        <d v="2022-04-28T00:00:00Z"/>
        <d v="2024-02-02T00:00:00Z"/>
        <d v="2024-11-05T00:00:00Z"/>
        <d v="2023-11-27T00:00:00Z"/>
        <d v="2023-02-17T00:00:00Z"/>
        <d v="2024-12-04T00:00:00Z"/>
        <d v="2023-04-15T00:00:00Z"/>
        <d v="2023-12-03T00:00:00Z"/>
        <d v="2024-11-14T00:00:00Z"/>
        <d v="2023-02-08T00:00:00Z"/>
        <d v="2024-05-14T00:00:00Z"/>
        <d v="2023-08-12T00:00:00Z"/>
        <d v="2022-11-22T00:00:00Z"/>
        <d v="2022-02-17T00:00:00Z"/>
        <d v="2023-10-28T00:00:00Z"/>
        <d v="2025-04-16T00:00:00Z"/>
        <d v="2022-03-21T00:00:00Z"/>
        <d v="2024-09-02T00:00:00Z"/>
        <d v="2023-04-10T00:00:00Z"/>
        <d v="2023-08-01T00:00:00Z"/>
        <d v="2025-12-19T00:00:00Z"/>
        <d v="2022-01-11T00:00:00Z"/>
        <d v="2023-10-27T00:00:00Z"/>
        <d v="2022-11-28T00:00:00Z"/>
        <d v="2022-08-09T00:00:00Z"/>
        <d v="2025-01-11T00:00:00Z"/>
        <d v="2023-06-13T00:00:00Z"/>
        <d v="2022-02-06T00:00:00Z"/>
        <d v="2023-09-28T00:00:00Z"/>
        <d v="2023-01-08T00:00:00Z"/>
        <d v="2022-06-18T00:00:00Z"/>
        <d v="2022-03-08T00:00:00Z"/>
        <d v="2025-06-06T00:00:00Z"/>
        <d v="2023-05-11T00:00:00Z"/>
        <d v="2025-05-04T00:00:00Z"/>
        <d v="2023-07-29T00:00:00Z"/>
        <d v="2023-10-31T00:00:00Z"/>
        <d v="2025-08-02T00:00:00Z"/>
        <d v="2023-04-25T00:00:00Z"/>
        <d v="2022-09-30T00:00:00Z"/>
        <d v="2023-06-20T00:00:00Z"/>
        <d v="2025-08-07T00:00:00Z"/>
        <d v="2024-02-08T00:00:00Z"/>
        <d v="2024-11-27T00:00:00Z"/>
        <d v="2024-07-26T00:00:00Z"/>
        <d v="2025-12-29T00:00:00Z"/>
        <d v="2024-07-02T00:00:00Z"/>
        <d v="2022-12-14T00:00:00Z"/>
        <d v="2023-04-30T00:00:00Z"/>
        <d v="2025-07-25T00:00:00Z"/>
        <d v="2024-12-11T00:00:00Z"/>
        <d v="2025-09-13T00:00:00Z"/>
        <d v="2025-09-09T00:00:00Z"/>
        <d v="2025-11-22T00:00:00Z"/>
        <d v="2022-01-27T00:00:00Z"/>
        <d v="2022-09-01T00:00:00Z"/>
        <d v="2026-02-27T00:00:00Z"/>
        <d v="2023-08-25T00:00:00Z"/>
        <d v="2023-06-28T00:00:00Z"/>
        <d v="2023-07-13T00:00:00Z"/>
        <d v="2024-07-10T00:00:00Z"/>
        <d v="2025-10-10T00:00:00Z"/>
        <d v="2025-04-30T00:00:00Z"/>
        <d v="2022-10-18T00:00:00Z"/>
        <d v="2024-08-14T00:00:00Z"/>
        <d v="2025-07-19T00:00:00Z"/>
        <d v="2026-03-03T00:00:00Z"/>
        <d v="2022-03-01T00:00:00Z"/>
        <d v="2024-02-25T00:00:00Z"/>
        <d v="2022-06-25T00:00:00Z"/>
        <d v="2022-01-14T00:00:00Z"/>
        <d v="2025-02-02T00:00:00Z"/>
        <d v="2024-07-15T00:00:00Z"/>
        <d v="2022-11-06T00:00:00Z"/>
        <d v="2024-02-11T00:00:00Z"/>
        <d v="2022-02-11T00:00:00Z"/>
        <d v="2022-04-27T00:00:00Z"/>
        <d v="2025-05-26T00:00:00Z"/>
        <d v="2023-08-11T00:00:00Z"/>
        <d v="2023-04-07T00:00:00Z"/>
        <d v="2024-10-03T00:00:00Z"/>
        <d v="2022-10-29T00:00:00Z"/>
        <d v="2023-11-19T00:00:00Z"/>
        <d v="2023-05-10T00:00:00Z"/>
        <d v="2025-09-08T00:00:00Z"/>
        <d v="2022-10-21T00:00:00Z"/>
        <d v="2024-07-13T00:00:00Z"/>
        <d v="2026-01-08T00:00:00Z"/>
        <d v="2022-08-25T00:00:00Z"/>
        <d v="2022-05-14T00:00:00Z"/>
        <d v="2024-12-18T00:00:00Z"/>
        <d v="2022-11-04T00:00:00Z"/>
        <d v="2025-10-31T00:00:00Z"/>
        <d v="2022-05-02T00:00:00Z"/>
        <d v="2023-01-06T00:00:00Z"/>
        <d v="2025-11-21T00:00:00Z"/>
        <d v="2023-10-12T00:00:00Z"/>
        <d v="2023-01-25T00:00:00Z"/>
        <d v="2024-01-17T00:00:00Z"/>
        <d v="2025-05-15T00:00:00Z"/>
        <d v="2022-08-29T00:00:00Z"/>
        <d v="2022-05-22T00:00:00Z"/>
        <d v="2024-07-04T00:00:00Z"/>
        <d v="2026-02-01T00:00:00Z"/>
        <d v="2023-04-26T00:00:00Z"/>
        <d v="2024-10-15T00:00:00Z"/>
        <d v="2023-03-06T00:00:00Z"/>
        <d v="2023-11-15T00:00:00Z"/>
        <d v="2023-12-17T00:00:00Z"/>
        <d v="2022-07-06T00:00:00Z"/>
        <d v="2025-04-26T00:00:00Z"/>
        <d v="2024-06-13T00:00:00Z"/>
        <d v="2025-04-18T00:00:00Z"/>
        <d v="2025-11-03T00:00:00Z"/>
        <d v="2024-11-17T00:00:00Z"/>
        <d v="2024-12-20T00:00:00Z"/>
        <d v="2023-05-24T00:00:00Z"/>
        <d v="2025-01-30T00:00:00Z"/>
        <d v="2023-10-11T00:00:00Z"/>
        <d v="2024-05-25T00:00:00Z"/>
        <d v="2023-07-02T00:00:00Z"/>
        <d v="2025-11-25T00:00:00Z"/>
        <d v="2023-02-14T00:00:00Z"/>
        <d v="2025-01-24T00:00:00Z"/>
        <d v="2024-09-15T00:00:00Z"/>
        <d v="2025-04-24T00:00:00Z"/>
        <d v="2022-09-03T00:00:00Z"/>
        <d v="2022-07-05T00:00:00Z"/>
        <d v="2023-08-21T00:00:00Z"/>
        <d v="2023-03-02T00:00:00Z"/>
        <d v="2025-12-23T00:00:00Z"/>
        <d v="2022-08-16T00:00:00Z"/>
        <d v="2022-03-02T00:00:00Z"/>
        <d v="2023-12-30T00:00:00Z"/>
        <d v="2023-09-23T00:00:00Z"/>
        <d v="2023-09-08T00:00:00Z"/>
        <d v="2023-07-17T00:00:00Z"/>
        <d v="2022-08-05T00:00:00Z"/>
        <d v="2023-01-02T00:00:00Z"/>
        <d v="2025-04-11T00:00:00Z"/>
        <d v="2024-05-01T00:00:00Z"/>
        <d v="2024-05-08T00:00:00Z"/>
        <d v="2023-10-21T00:00:00Z"/>
        <d v="2022-08-01T00:00:00Z"/>
        <d v="2025-07-05T00:00:00Z"/>
        <d v="2024-03-17T00:00:00Z"/>
        <d v="2023-05-27T00:00:00Z"/>
        <d v="2023-11-25T00:00:00Z"/>
        <d v="2024-10-14T00:00:00Z"/>
        <d v="2023-06-01T00:00:00Z"/>
        <d v="2024-12-05T00:00:00Z"/>
        <d v="2022-09-09T00:00:00Z"/>
        <d v="2022-01-07T00:00:00Z"/>
        <d v="2024-03-01T00:00:00Z"/>
        <d v="2025-03-08T00:00:00Z"/>
        <d v="2022-09-04T00:00:00Z"/>
        <d v="2024-03-29T00:00:00Z"/>
        <d v="2024-04-23T00:00:00Z"/>
        <d v="2025-03-20T00:00:00Z"/>
        <d v="2022-11-09T00:00:00Z"/>
        <d v="2024-10-12T00:00:00Z"/>
        <d v="2023-07-23T00:00:00Z"/>
        <d v="2022-09-20T00:00:00Z"/>
        <d v="2024-01-26T00:00:00Z"/>
        <d v="2022-06-07T00:00:00Z"/>
        <d v="2026-01-11T00:00:00Z"/>
        <d v="2025-06-09T00:00:00Z"/>
        <d v="2023-05-29T00:00:00Z"/>
        <d v="2024-09-13T00:00:00Z"/>
        <d v="2026-03-07T00:00:00Z"/>
        <d v="2022-11-01T00:00:00Z"/>
        <d v="2025-06-21T00:00:00Z"/>
        <d v="2022-01-02T00:00:00Z"/>
        <d v="2022-12-10T00:00:00Z"/>
        <d v="2022-01-23T00:00:00Z"/>
        <d v="2025-06-15T00:00:00Z"/>
        <d v="2026-03-02T00:00:00Z"/>
        <d v="2025-11-23T00:00:00Z"/>
        <d v="2022-05-03T00:00:00Z"/>
        <d v="2025-05-21T00:00:00Z"/>
        <d v="2023-10-03T00:00:00Z"/>
        <d v="2022-10-01T00:00:00Z"/>
        <d v="2022-02-03T00:00:00Z"/>
        <d v="2023-12-27T00:00:00Z"/>
        <d v="2023-05-22T00:00:00Z"/>
        <d v="2022-06-09T00:00:00Z"/>
        <d v="2024-01-02T00:00:00Z"/>
        <d v="2025-12-22T00:00:00Z"/>
        <d v="2025-11-24T00:00:00Z"/>
        <d v="2024-05-09T00:00:00Z"/>
        <d v="2022-11-11T00:00:00Z"/>
        <d v="2023-07-18T00:00:00Z"/>
        <d v="2022-05-26T00:00:00Z"/>
        <d v="2024-10-22T00:00:00Z"/>
        <d v="2024-04-28T00:00:00Z"/>
        <d v="2024-04-21T00:00:00Z"/>
        <d v="2023-06-30T00:00:00Z"/>
        <d v="2024-11-12T00:00:00Z"/>
        <d v="2023-12-10T00:00:00Z"/>
        <d v="2022-06-04T00:00:00Z"/>
        <d v="2022-01-05T00:00:00Z"/>
        <d v="2025-08-23T00:00:00Z"/>
        <d v="2025-11-30T00:00:00Z"/>
        <d v="2026-01-20T00:00:00Z"/>
        <d v="2025-06-14T00:00:00Z"/>
        <d v="2025-11-27T00:00:00Z"/>
        <d v="2023-03-23T00:00:00Z"/>
        <d v="2022-07-23T00:00:00Z"/>
        <d v="2022-07-22T00:00:00Z"/>
        <d v="2024-10-01T00:00:00Z"/>
        <d v="2025-08-17T00:00:00Z"/>
        <d v="2025-02-19T00:00:00Z"/>
        <d v="2024-04-22T00:00:00Z"/>
        <d v="2024-12-30T00:00:00Z"/>
        <d v="2026-02-26T00:00:00Z"/>
        <d v="2022-09-08T00:00:00Z"/>
        <d v="2025-04-27T00:00:00Z"/>
        <d v="2023-02-06T00:00:00Z"/>
        <d v="2024-07-29T00:00:00Z"/>
        <d v="2023-10-25T00:00:00Z"/>
        <d v="2024-01-20T00:00:00Z"/>
        <d v="2025-12-03T00:00:00Z"/>
        <d v="2025-05-05T00:00:00Z"/>
        <d v="2022-12-13T00:00:00Z"/>
        <d v="2022-08-15T00:00:00Z"/>
        <d v="2023-06-03T00:00:00Z"/>
        <d v="2025-10-01T00:00:00Z"/>
        <d v="2024-07-16T00:00:00Z"/>
        <d v="2023-09-06T00:00:00Z"/>
        <d v="2022-06-30T00:00:00Z"/>
        <d v="2023-11-16T00:00:00Z"/>
        <d v="2025-01-10T00:00:00Z"/>
        <d v="2024-10-16T00:00:00Z"/>
        <d v="2025-05-31T00:00:00Z"/>
        <d v="2025-09-04T00:00:00Z"/>
        <d v="2024-06-08T00:00:00Z"/>
        <d v="2026-02-07T00:00:00Z"/>
        <d v="2024-01-22T00:00:00Z"/>
        <d v="2022-08-17T00:00:00Z"/>
        <d v="2024-09-17T00:00:00Z"/>
        <d v="2023-07-22T00:00:00Z"/>
        <d v="2022-05-15T00:00:00Z"/>
        <d v="2025-08-26T00:00:00Z"/>
        <d v="2024-12-02T00:00:00Z"/>
        <d v="2025-04-12T00:00:00Z"/>
        <d v="2022-10-03T00:00:00Z"/>
        <d v="2024-10-13T00:00:00Z"/>
        <d v="2023-08-23T00:00:00Z"/>
        <d v="2025-01-05T00:00:00Z"/>
        <d v="2022-11-18T00:00:00Z"/>
        <d v="2024-04-10T00:00:00Z"/>
        <d v="2026-02-23T00:00:00Z"/>
        <d v="2023-05-25T00:00:00Z"/>
        <d v="2025-06-11T00:00:00Z"/>
        <d v="2024-05-23T00:00:00Z"/>
      </sharedItems>
    </cacheField>
    <cacheField name="CustomerID" numFmtId="0">
      <sharedItems>
        <s v="C2265"/>
        <s v="C2033"/>
        <s v="C2365"/>
        <s v="C2327"/>
        <s v="C2012"/>
        <s v="C2283"/>
        <s v="C2290"/>
        <s v="C2418"/>
        <s v="C2382"/>
        <s v="C2087"/>
        <s v="C2276"/>
        <s v="C2447"/>
        <s v="C2015"/>
        <s v="C2496"/>
        <s v="C2249"/>
        <s v="C2457"/>
        <s v="C2391"/>
        <s v="C2385"/>
        <s v="C2211"/>
        <s v="C2037"/>
        <s v="C2254"/>
        <s v="C2360"/>
        <s v="C2455"/>
        <s v="C2089"/>
        <s v="C2362"/>
        <s v="C2157"/>
        <s v="C2295"/>
        <s v="C2002"/>
        <s v="C2139"/>
        <s v="C2170"/>
        <s v="C2068"/>
        <s v="C2042"/>
        <s v="C2152"/>
        <s v="C2399"/>
        <s v="C2423"/>
        <s v="C2099"/>
        <s v="C2088"/>
        <s v="C2145"/>
        <s v="C2280"/>
        <s v="C2190"/>
        <s v="C2312"/>
        <s v="C2213"/>
        <s v="C2445"/>
        <s v="C2472"/>
        <s v="C2439"/>
        <s v="C2294"/>
        <s v="C2069"/>
        <s v="C2023"/>
        <s v="C2330"/>
        <s v="C2052"/>
        <s v="C2058"/>
        <s v="C2367"/>
        <s v="C2108"/>
        <s v="C2340"/>
        <s v="C2394"/>
        <s v="C2065"/>
        <s v="C2043"/>
        <s v="C2393"/>
        <s v="C2342"/>
        <s v="C2077"/>
        <s v="C2013"/>
        <s v="C2300"/>
        <s v="C2128"/>
        <s v="C2188"/>
        <s v="C2331"/>
        <s v="C2018"/>
        <s v="C2434"/>
        <s v="C2316"/>
        <s v="C2131"/>
        <s v="C2209"/>
        <s v="C2162"/>
        <s v="C2103"/>
        <s v="C2278"/>
        <s v="C2323"/>
        <s v="C2405"/>
        <s v="C2357"/>
        <s v="C2471"/>
        <s v="C2137"/>
        <s v="C2354"/>
        <s v="C2432"/>
        <s v="C2149"/>
        <s v="C2319"/>
        <s v="C2411"/>
        <s v="C2452"/>
        <s v="C2094"/>
        <s v="C2197"/>
        <s v="C2064"/>
        <s v="C2225"/>
        <s v="C2027"/>
        <s v="C2073"/>
        <s v="C2361"/>
        <s v="C2469"/>
        <s v="C2458"/>
        <s v="C2430"/>
        <s v="C2154"/>
        <s v="C2204"/>
        <s v="C2252"/>
        <s v="C2346"/>
        <s v="C2409"/>
        <s v="C2406"/>
        <s v="C2381"/>
        <s v="C2024"/>
        <s v="C2374"/>
        <s v="C2299"/>
        <s v="C2036"/>
        <s v="C2460"/>
        <s v="C2403"/>
        <s v="C2459"/>
        <s v="C2251"/>
        <s v="C2090"/>
        <s v="C2291"/>
        <s v="C2348"/>
        <s v="C2096"/>
        <s v="C2173"/>
        <s v="C2102"/>
        <s v="C2178"/>
        <s v="C2080"/>
        <s v="C2056"/>
        <s v="C2408"/>
        <s v="C2196"/>
        <s v="C2378"/>
        <s v="C2380"/>
        <s v="C2034"/>
        <s v="C2417"/>
        <s v="C2030"/>
        <s v="C2433"/>
        <s v="C2474"/>
        <s v="C2241"/>
        <s v="C2070"/>
        <s v="C2344"/>
        <s v="C2373"/>
        <s v="C2271"/>
        <s v="C2174"/>
        <s v="C2161"/>
        <s v="C2125"/>
        <s v="C2335"/>
        <s v="C2498"/>
        <s v="C2298"/>
        <s v="C2208"/>
        <s v="C2055"/>
        <s v="C2109"/>
        <s v="C2022"/>
        <s v="C2186"/>
        <s v="C2238"/>
        <s v="C2187"/>
        <s v="C2309"/>
        <s v="C2169"/>
        <s v="C2057"/>
        <s v="C2192"/>
        <s v="C2402"/>
        <s v="C2194"/>
        <s v="C2172"/>
        <s v="C2333"/>
        <s v="C2066"/>
        <s v="C2268"/>
        <s v="C2164"/>
        <s v="C2487"/>
        <s v="C2239"/>
        <s v="C2132"/>
        <s v="C2383"/>
        <s v="C2140"/>
        <s v="C2453"/>
        <s v="C2410"/>
        <s v="C2150"/>
        <s v="C2180"/>
        <s v="C2428"/>
        <s v="C2078"/>
        <s v="C2450"/>
        <s v="C2144"/>
        <s v="C2476"/>
        <s v="C2441"/>
        <s v="C2222"/>
        <s v="C2468"/>
        <s v="C2258"/>
        <s v="C2110"/>
        <s v="C2160"/>
        <s v="C2136"/>
        <s v="C2118"/>
        <s v="C2318"/>
        <s v="C2014"/>
        <s v="C2111"/>
        <s v="C2006"/>
        <s v="C2284"/>
        <s v="C2168"/>
        <s v="C2008"/>
        <s v="C2486"/>
        <s v="C2282"/>
        <s v="C2421"/>
        <s v="C2416"/>
        <s v="C2435"/>
        <s v="C2431"/>
        <s v="C2332"/>
        <s v="C2267"/>
        <s v="C2112"/>
        <s v="C2221"/>
        <s v="C2021"/>
        <s v="C2050"/>
        <s v="C2375"/>
        <s v="C2397"/>
        <s v="C2286"/>
        <s v="C2437"/>
        <s v="C2260"/>
        <s v="C2338"/>
        <s v="C2046"/>
        <s v="C2396"/>
        <s v="C2165"/>
        <s v="C2328"/>
        <s v="C2464"/>
        <s v="C2175"/>
        <s v="C2321"/>
        <s v="C2176"/>
        <s v="C2269"/>
        <s v="C2035"/>
        <s v="C2245"/>
        <s v="C2205"/>
        <s v="C2389"/>
        <s v="C2253"/>
        <s v="C2244"/>
        <s v="C2470"/>
        <s v="C2427"/>
        <s v="C2193"/>
        <s v="C2113"/>
        <s v="C2359"/>
        <s v="C2123"/>
        <s v="C2203"/>
        <s v="C2451"/>
        <s v="C2240"/>
        <s v="C2303"/>
        <s v="C2232"/>
        <s v="C2153"/>
        <s v="C2324"/>
        <s v="C2310"/>
        <s v="C2289"/>
        <s v="C2199"/>
        <s v="C2086"/>
        <s v="C2499"/>
        <s v="C2462"/>
        <s v="C2016"/>
        <s v="C2456"/>
        <s v="C2155"/>
        <s v="C2415"/>
        <s v="C2491"/>
        <s v="C2325"/>
        <s v="C2366"/>
        <s v="C2272"/>
        <s v="C2183"/>
        <s v="C2257"/>
        <s v="C2072"/>
        <s v="C2293"/>
        <s v="C2305"/>
        <s v="C2358"/>
        <s v="C2273"/>
        <s v="C2214"/>
        <s v="C2019"/>
        <s v="C2061"/>
        <s v="C2350"/>
        <s v="C2448"/>
        <s v="C2369"/>
        <s v="C2401"/>
        <s v="C2449"/>
        <s v="C2098"/>
        <s v="C2185"/>
        <s v="C2481"/>
        <s v="C2279"/>
        <s v="C2138"/>
        <s v="C2091"/>
        <s v="C2395"/>
        <s v="C2296"/>
        <s v="C2372"/>
        <s v="C2159"/>
        <s v="C2104"/>
        <s v="C2011"/>
        <s v="C2010"/>
        <s v="C2143"/>
        <s v="C2243"/>
        <s v="C2054"/>
        <s v="C2041"/>
        <s v="C2355"/>
        <s v="C2048"/>
        <s v="C2341"/>
        <s v="C2074"/>
        <s v="C2446"/>
        <s v="C2171"/>
        <s v="C2005"/>
        <s v="C2117"/>
        <s v="C2250"/>
        <s v="C2067"/>
        <s v="C2230"/>
        <s v="C2181"/>
        <s v="C2082"/>
        <s v="C2500"/>
        <s v="C2044"/>
        <s v="C2482"/>
        <s v="C2130"/>
        <s v="C2029"/>
        <s v="C2351"/>
        <s v="C2308"/>
        <s v="C2484"/>
        <s v="C2465"/>
        <s v="C2407"/>
        <s v="C2266"/>
        <s v="C2107"/>
        <s v="C2281"/>
        <s v="C2263"/>
        <s v="C2443"/>
        <s v="C2311"/>
        <s v="C2092"/>
        <s v="C2135"/>
        <s v="C2343"/>
        <s v="C2320"/>
        <s v="C2422"/>
        <s v="C2264"/>
        <s v="C2426"/>
        <s v="C2122"/>
        <s v="C2370"/>
        <s v="C2480"/>
        <s v="C2195"/>
        <s v="C2032"/>
        <s v="C2100"/>
        <s v="C2227"/>
        <s v="C2085"/>
        <s v="C2463"/>
        <s v="C2148"/>
        <s v="C2388"/>
        <s v="C2413"/>
        <s v="C2368"/>
        <s v="C2177"/>
        <s v="C2314"/>
        <s v="C2191"/>
        <s v="C2313"/>
        <s v="C2307"/>
        <s v="C2356"/>
      </sharedItems>
    </cacheField>
    <cacheField name="Customer Name" numFmtId="0">
      <sharedItems containsBlank="1">
        <s v="Liam Carter"/>
        <s v="Noah Bennett"/>
        <s v="Oliver Hayes"/>
        <s v="Elijah Brooks"/>
        <s v="James Cooper"/>
        <s v="William Foster"/>
        <s v="Benjamin Ross"/>
        <s v="Lucas Reed"/>
        <s v="Henry Morgan"/>
        <s v="Alexander Scott"/>
        <s v="Emma Watson"/>
        <s v="Olivia Turner"/>
        <s v="Ava Mitchell"/>
        <s v="Sophia Parker"/>
        <s v="Isabella Collins"/>
        <s v="Mia Edwards"/>
        <s v="Charlotte Morris"/>
        <s v="Amelia Rogers"/>
        <s v="Harper Cook"/>
        <s v="Evelyn Bell"/>
        <s v="Daniel Walker"/>
        <s v="Micheal Gray"/>
        <s v="Ethan Ward"/>
        <s v="Jacob Cox"/>
        <s v="Logan Price"/>
        <s v="Chloe Simmons"/>
        <s v="Lily Butler"/>
        <s v="Grace Hughes"/>
        <s v="Zoe Bryant"/>
        <s v="Hannah Perry"/>
        <m/>
      </sharedItems>
    </cacheField>
    <cacheField name="ProductID" numFmtId="0">
      <sharedItems>
        <s v="P1046"/>
        <s v="P1010"/>
        <s v="P1037"/>
        <s v="P1001"/>
        <s v="P1042"/>
        <s v="P1003"/>
        <s v="P1030"/>
        <s v="P1025"/>
        <s v="P1016"/>
        <s v="P1014"/>
        <s v="P1005"/>
        <s v="P1029"/>
        <s v="P1041"/>
        <s v="P1040"/>
        <s v="P1013"/>
        <s v="P1028"/>
        <s v="P1032"/>
        <s v="P1043"/>
        <s v="P1008"/>
        <s v="P1049"/>
        <s v="P1038"/>
        <s v="P1007"/>
        <s v="P1011"/>
        <s v="P1026"/>
        <s v="P1009"/>
        <s v="P1034"/>
        <s v="P1018"/>
        <s v="P1039"/>
        <s v="P1050"/>
        <s v="P1006"/>
        <s v="P1019"/>
        <s v="P1015"/>
        <s v="P1031"/>
        <s v="P1002"/>
        <s v="P1017"/>
        <s v="P1020"/>
        <s v="P1036"/>
        <s v="P1044"/>
        <s v="P1027"/>
        <s v="P1023"/>
        <s v="P1045"/>
        <s v="P1033"/>
        <s v="P1022"/>
        <s v="P1048"/>
        <s v="P1035"/>
        <s v="P1004"/>
        <s v="P1021"/>
        <s v="P1047"/>
        <s v="P1012"/>
        <s v="P1024"/>
      </sharedItems>
    </cacheField>
    <cacheField name="Product Name" numFmtId="0">
      <sharedItems containsBlank="1">
        <s v="Laptop"/>
        <s v="Smartphone"/>
        <s v="Tablet"/>
        <s v="Headphones"/>
        <s v="Camera"/>
        <s v="Printer"/>
        <s v="Monitor"/>
        <s v="Keyboard"/>
        <s v="Mouse"/>
        <s v="Chair"/>
        <s v="Table"/>
        <s v="Sofa"/>
        <s v="Bed"/>
        <s v="Wardrobe"/>
        <s v="Shoes"/>
        <s v="T-Shirt"/>
        <s v="Jeans"/>
        <s v="Watch"/>
        <s v="Bag"/>
        <s v="Sunglasses"/>
        <s v="Belt"/>
        <s v="Bottle"/>
        <s v="Lamp"/>
        <m/>
      </sharedItems>
    </cacheField>
    <cacheField name="Category" numFmtId="0">
      <sharedItems>
        <s v="Electronics"/>
        <s v="Furniture"/>
        <s v="Fashion"/>
        <s v="Accessories"/>
        <s v="Home"/>
      </sharedItems>
    </cacheField>
    <cacheField name="Quantity" numFmtId="0">
      <sharedItems containsSemiMixedTypes="0" containsString="0" containsNumber="1" containsInteger="1">
        <n v="10.0"/>
        <n v="9.0"/>
        <n v="3.0"/>
        <n v="6.0"/>
        <n v="5.0"/>
        <n v="1.0"/>
        <n v="2.0"/>
        <n v="7.0"/>
        <n v="8.0"/>
        <n v="4.0"/>
      </sharedItems>
    </cacheField>
    <cacheField name="UnitPrice" numFmtId="0">
      <sharedItems containsSemiMixedTypes="0" containsString="0" containsNumber="1">
        <n v="83.01"/>
        <n v="75.41"/>
        <n v="115.76"/>
        <n v="144.69"/>
        <n v="90.5"/>
        <n v="187.26"/>
        <n v="100.65"/>
        <n v="65.45"/>
        <n v="156.45"/>
        <n v="54.76"/>
        <n v="160.49"/>
        <n v="104.81"/>
        <n v="133.47"/>
        <n v="161.81"/>
        <n v="59.18"/>
        <n v="82.34"/>
        <n v="52.33"/>
        <n v="183.75"/>
        <n v="190.65"/>
        <n v="62.86"/>
        <n v="73.93"/>
        <n v="37.05"/>
        <n v="114.21"/>
        <n v="128.23"/>
        <n v="74.83"/>
        <n v="191.23"/>
        <n v="131.34"/>
        <n v="52.53"/>
        <n v="161.48"/>
        <n v="143.58"/>
        <n v="193.29"/>
        <n v="144.86"/>
        <n v="44.18"/>
        <n v="109.31"/>
        <n v="43.15"/>
        <n v="94.59"/>
        <n v="146.68"/>
        <n v="138.68"/>
        <n v="152.99"/>
        <n v="70.71"/>
        <n v="159.7"/>
        <n v="170.73"/>
        <n v="164.53"/>
        <n v="174.29"/>
        <n v="35.91"/>
        <n v="89.45"/>
        <n v="140.72"/>
        <n v="73.45"/>
        <n v="143.99"/>
        <n v="122.33"/>
      </sharedItems>
    </cacheField>
    <cacheField name="TotalSale" numFmtId="0">
      <sharedItems containsSemiMixedTypes="0" containsString="0" containsNumber="1">
        <n v="830.1"/>
        <n v="678.69"/>
        <n v="347.28"/>
        <n v="868.14"/>
        <n v="543.0"/>
        <n v="1872.6"/>
        <n v="603.9"/>
        <n v="654.5"/>
        <n v="1564.5"/>
        <n v="273.8"/>
        <n v="802.45"/>
        <n v="104.81"/>
        <n v="1201.23"/>
        <n v="226.23"/>
        <n v="266.94"/>
        <n v="1132.67"/>
        <n v="498.06"/>
        <n v="1157.6"/>
        <n v="1157.52"/>
        <n v="118.36"/>
        <n v="1604.9"/>
        <n v="164.68"/>
        <n v="104.66"/>
        <n v="918.75"/>
        <n v="381.3"/>
        <n v="502.88"/>
        <n v="739.3"/>
        <n v="111.15"/>
        <n v="440.02"/>
        <n v="196.35"/>
        <n v="209.32"/>
        <n v="571.05"/>
        <n v="936.3"/>
        <n v="256.46"/>
        <n v="962.94"/>
        <n v="224.49"/>
        <n v="295.72"/>
        <n v="1721.07"/>
        <n v="919.38"/>
        <n v="342.63"/>
        <n v="315.18"/>
        <n v="1453.32"/>
        <n v="943.29"/>
        <n v="185.25"/>
        <n v="861.48"/>
        <n v="1143.9"/>
        <n v="1932.9"/>
        <n v="144.86"/>
        <n v="1014.02"/>
        <n v="579.44"/>
        <n v="353.44"/>
        <n v="1159.74"/>
        <n v="190.65"/>
        <n v="109.31"/>
        <n v="43.15"/>
        <n v="523.6"/>
        <n v="633.5"/>
        <n v="94.59"/>
        <n v="1320.12"/>
        <n v="532.62"/>
        <n v="832.08"/>
        <n v="645.92"/>
        <n v="1837.5"/>
        <n v="586.72"/>
        <n v="1376.91"/>
        <n v="799.47"/>
        <n v="353.55"/>
        <n v="434.58"/>
        <n v="807.4"/>
        <n v="966.45"/>
        <n v="54.76"/>
        <n v="958.2"/>
        <n v="1025.84"/>
        <n v="1277.6"/>
        <n v="970.86"/>
        <n v="814.5"/>
        <n v="628.6"/>
        <n v="492.84"/>
        <n v="838.48"/>
        <n v="853.65"/>
        <n v="458.15"/>
        <n v="251.44"/>
        <n v="1130.36"/>
        <n v="88.36"/>
        <n v="313.98"/>
        <n v="105.06"/>
        <n v="1645.3"/>
        <n v="52.33"/>
        <n v="265.08"/>
        <n v="1446.9"/>
        <n v="1220.03"/>
        <n v="983.79"/>
        <n v="166.02"/>
        <n v="115.76"/>
        <n v="741.06"/>
        <n v="1338.61"/>
        <n v="420.24"/>
        <n v="1117.9"/>
        <n v="1437.3"/>
        <n v="370.5"/>
        <n v="369.65"/>
        <n v="524.05"/>
        <n v="179.55"/>
        <n v="574.32"/>
        <n v="1525.2"/>
        <n v="82.34"/>
        <n v="367.71"/>
        <n v="1498.08"/>
        <n v="764.92"/>
        <n v="71.82"/>
        <n v="851.31"/>
        <n v="479.1"/>
        <n v="523.3"/>
        <n v="146.68"/>
        <n v="591.8"/>
        <n v="656.7"/>
        <n v="452.46"/>
        <n v="447.25"/>
        <n v="809.05"/>
        <n v="262.65"/>
        <n v="193.29"/>
        <n v="1050.72"/>
        <n v="749.04"/>
        <n v="1291.84"/>
        <n v="323.19"/>
        <n v="1173.44"/>
        <n v="189.18"/>
        <n v="1125.76"/>
        <n v="578.76"/>
        <n v="129.45"/>
        <n v="322.96"/>
        <n v="1302.21"/>
        <n v="397.62"/>
        <n v="157.59"/>
        <n v="377.05"/>
        <n v="83.01"/>
        <n v="773.16"/>
        <n v="293.8"/>
        <n v="143.58"/>
        <n v="125.72"/>
        <n v="1109.44"/>
        <n v="345.2"/>
        <n v="1006.5"/>
        <n v="456.84"/>
        <n v="414.26"/>
        <n v="871.45"/>
        <n v="658.72"/>
        <n v="469.35"/>
        <n v="694.56"/>
        <n v="707.1"/>
        <n v="938.7"/>
        <n v="1334.55"/>
        <n v="341.46"/>
        <n v="141.42"/>
        <n v="1310.82"/>
        <n v="748.3"/>
        <n v="293.36"/>
        <n v="905.0"/>
        <n v="1093.1"/>
        <n v="323.62"/>
        <n v="512.92"/>
        <n v="362.0"/>
        <n v="782.25"/>
        <n v="1568.61"/>
        <n v="717.9"/>
        <n v="641.96"/>
        <n v="65.45"/>
        <n v="844.32"/>
        <n v="970.76"/>
        <n v="305.98"/>
        <n v="1295.91"/>
        <n v="945.9"/>
        <n v="733.67"/>
        <n v="485.43"/>
        <n v="128.23"/>
        <n v="367.5"/>
        <n v="611.65"/>
        <n v="416.04"/>
        <n v="107.73"/>
        <n v="561.78"/>
        <n v="1546.32"/>
        <n v="262.68"/>
        <n v="1685.34"/>
        <n v="1223.3"/>
        <n v="161.81"/>
        <n v="122.33"/>
        <n v="133.47"/>
        <n v="805.2"/>
        <n v="1283.92"/>
        <n v="1027.89"/>
        <n v="215.75"/>
        <n v="697.16"/>
        <n v="301.64"/>
        <n v="131.34"/>
        <n v="73.45"/>
        <n v="156.99"/>
        <n v="329.06"/>
        <n v="282.84"/>
        <n v="1529.9"/>
        <n v="448.98"/>
        <n v="1466.8"/>
        <n v="188.58"/>
        <n v="1313.4"/>
        <n v="152.99"/>
        <n v="810.32"/>
        <n v="146.9"/>
        <n v="662.13"/>
        <n v="130.9"/>
        <n v="149.66"/>
        <n v="685.26"/>
        <n v="978.64"/>
        <n v="228.42"/>
        <n v="258.9"/>
        <n v="1653.75"/>
        <n v="144.69"/>
        <n v="161.48"/>
        <n v="384.69"/>
        <n v="463.04"/>
        <n v="222.3"/>
        <n v="418.64"/>
        <n v="1470.0"/>
        <n v="458.97"/>
        <n v="443.58"/>
        <n v="525.36"/>
        <n v="132.54"/>
        <n v="575.96"/>
        <n v="1536.57"/>
        <n v="170.73"/>
        <n v="109.52"/>
        <n v="419.24"/>
        <n v="756.72"/>
        <n v="377.16"/>
        <n v="1365.84"/>
        <n v="1123.56"/>
        <n v="383.32"/>
        <n v="1151.92"/>
        <n v="1707.3"/>
        <n v="562.88"/>
        <n v="1316.24"/>
        <n v="523.81"/>
        <n v="897.61"/>
        <n v="90.5"/>
        <n v="546.55"/>
        <n v="231.52"/>
        <n v="503.25"/>
        <n v="1148.64"/>
        <n v="359.1"/>
        <n v="236.72"/>
        <n v="578.8"/>
        <n v="565.68"/>
        <n v="388.35"/>
        <n v="493.59"/>
        <n v="665.37"/>
        <n v="261.65"/>
        <n v="1012.83"/>
        <n v="296.4"/>
        <n v="178.9"/>
        <n v="473.44"/>
        <n v="693.4"/>
        <n v="394.02"/>
        <n v="647.24"/>
        <n v="733.4"/>
        <n v="1407.2"/>
        <n v="856.31"/>
        <n v="1158.88"/>
        <n v="579.87"/>
        <n v="1597.0"/>
        <n v="277.36"/>
        <n v="176.72"/>
        <n v="287.98"/>
        <n v="1614.8"/>
        <n v="869.16"/>
        <n v="603.28"/>
        <n v="968.88"/>
        <n v="1435.8"/>
        <n v="59.18"/>
        <n v="402.6"/>
        <n v="374.52"/>
        <n v="422.16"/>
        <n v="554.72"/>
        <n v="431.97"/>
        <n v="565.74"/>
        <n v="174.29"/>
        <n v="191.23"/>
        <n v="1742.9"/>
        <n v="452.5"/>
        <n v="765.17"/>
        <n v="682.92"/>
        <n v="863.94"/>
        <n v="1353.03"/>
        <n v="329.36"/>
        <n v="1286.25"/>
        <n v="703.6"/>
        <n v="484.44"/>
        <n v="769.38"/>
        <n v="514.15"/>
        <n v="348.58"/>
        <n v="1048.1"/>
        <n v="719.95"/>
        <n v="74.83"/>
        <n v="114.21"/>
        <n v="183.75"/>
        <n v="1912.3"/>
        <n v="309.26"/>
        <n v="764.95"/>
        <n v="1095.15"/>
        <n v="289.38"/>
        <n v="150.82"/>
        <n v="314.3"/>
        <n v="44.18"/>
        <n v="581.07"/>
      </sharedItems>
    </cacheField>
    <cacheField name="Region" numFmtId="0">
      <sharedItems>
        <s v="North"/>
        <s v="West"/>
        <s v="South"/>
        <s v="Eas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01" sheet="FinalData"/>
  </cacheSource>
  <cacheFields>
    <cacheField name="OrderID" numFmtId="0">
      <sharedItems>
        <s v="ORD-5001"/>
        <s v="ORD-5002"/>
        <s v="ORD-5003"/>
        <s v="ORD-5004"/>
        <s v="ORD-5005"/>
        <s v="ORD-5006"/>
        <s v="ORD-5007"/>
        <s v="ORD-5008"/>
        <s v="ORD-5009"/>
        <s v="ORD-5010"/>
        <s v="ORD-5011"/>
        <s v="ORD-5012"/>
        <s v="ORD-5013"/>
        <s v="ORD-5014"/>
        <s v="ORD-5015"/>
        <s v="ORD-5016"/>
        <s v="ORD-5017"/>
        <s v="ORD-5018"/>
        <s v="ORD-5019"/>
        <s v="ORD-5020"/>
        <s v="ORD-5021"/>
        <s v="ORD-5022"/>
        <s v="ORD-5023"/>
        <s v="ORD-5024"/>
        <s v="ORD-5025"/>
        <s v="ORD-5026"/>
        <s v="ORD-5027"/>
        <s v="ORD-5028"/>
        <s v="ORD-5029"/>
        <s v="ORD-5030"/>
        <s v="ORD-5031"/>
        <s v="ORD-5032"/>
        <s v="ORD-5033"/>
        <s v="ORD-5034"/>
        <s v="ORD-5035"/>
        <s v="ORD-5036"/>
        <s v="ORD-5037"/>
        <s v="ORD-5038"/>
        <s v="ORD-5039"/>
        <s v="ORD-5040"/>
        <s v="ORD-5041"/>
        <s v="ORD-5042"/>
        <s v="ORD-5043"/>
        <s v="ORD-5044"/>
        <s v="ORD-5045"/>
        <s v="ORD-5046"/>
        <s v="ORD-5047"/>
        <s v="ORD-5048"/>
        <s v="ORD-5049"/>
        <s v="ORD-5050"/>
        <s v="ORD-5051"/>
        <s v="ORD-5052"/>
        <s v="ORD-5053"/>
        <s v="ORD-5054"/>
        <s v="ORD-5055"/>
        <s v="ORD-5056"/>
        <s v="ORD-5057"/>
        <s v="ORD-5058"/>
        <s v="ORD-5059"/>
        <s v="ORD-5060"/>
        <s v="ORD-5061"/>
        <s v="ORD-5062"/>
        <s v="ORD-5063"/>
        <s v="ORD-5064"/>
        <s v="ORD-5065"/>
        <s v="ORD-5066"/>
        <s v="ORD-5067"/>
        <s v="ORD-5068"/>
        <s v="ORD-5069"/>
        <s v="ORD-5070"/>
        <s v="ORD-5071"/>
        <s v="ORD-5072"/>
        <s v="ORD-5073"/>
        <s v="ORD-5074"/>
        <s v="ORD-5075"/>
        <s v="ORD-5076"/>
        <s v="ORD-5077"/>
        <s v="ORD-5078"/>
        <s v="ORD-5079"/>
        <s v="ORD-5080"/>
        <s v="ORD-5081"/>
        <s v="ORD-5082"/>
        <s v="ORD-5083"/>
        <s v="ORD-5084"/>
        <s v="ORD-5085"/>
        <s v="ORD-5086"/>
        <s v="ORD-5087"/>
        <s v="ORD-5088"/>
        <s v="ORD-5089"/>
        <s v="ORD-5090"/>
        <s v="ORD-5091"/>
        <s v="ORD-5092"/>
        <s v="ORD-5093"/>
        <s v="ORD-5094"/>
        <s v="ORD-5095"/>
        <s v="ORD-5096"/>
        <s v="ORD-5097"/>
        <s v="ORD-5098"/>
        <s v="ORD-5099"/>
        <s v="ORD-5100"/>
        <s v="ORD-5101"/>
        <s v="ORD-5102"/>
        <s v="ORD-5103"/>
        <s v="ORD-5104"/>
        <s v="ORD-5105"/>
        <s v="ORD-5106"/>
        <s v="ORD-5107"/>
        <s v="ORD-5108"/>
        <s v="ORD-5109"/>
        <s v="ORD-5110"/>
        <s v="ORD-5111"/>
        <s v="ORD-5112"/>
        <s v="ORD-5113"/>
        <s v="ORD-5114"/>
        <s v="ORD-5115"/>
        <s v="ORD-5116"/>
        <s v="ORD-5117"/>
        <s v="ORD-5118"/>
        <s v="ORD-5119"/>
        <s v="ORD-5120"/>
        <s v="ORD-5121"/>
        <s v="ORD-5122"/>
        <s v="ORD-5123"/>
        <s v="ORD-5124"/>
        <s v="ORD-5125"/>
        <s v="ORD-5126"/>
        <s v="ORD-5127"/>
        <s v="ORD-5128"/>
        <s v="ORD-5129"/>
        <s v="ORD-5130"/>
        <s v="ORD-5131"/>
        <s v="ORD-5132"/>
        <s v="ORD-5133"/>
        <s v="ORD-5134"/>
        <s v="ORD-5135"/>
        <s v="ORD-5136"/>
        <s v="ORD-5137"/>
        <s v="ORD-5138"/>
        <s v="ORD-5139"/>
        <s v="ORD-5140"/>
        <s v="ORD-5141"/>
        <s v="ORD-5142"/>
        <s v="ORD-5143"/>
        <s v="ORD-5144"/>
        <s v="ORD-5145"/>
        <s v="ORD-5146"/>
        <s v="ORD-5147"/>
        <s v="ORD-5148"/>
        <s v="ORD-5149"/>
        <s v="ORD-5150"/>
        <s v="ORD-5151"/>
        <s v="ORD-5152"/>
        <s v="ORD-5153"/>
        <s v="ORD-5154"/>
        <s v="ORD-5155"/>
        <s v="ORD-5156"/>
        <s v="ORD-5157"/>
        <s v="ORD-5158"/>
        <s v="ORD-5159"/>
        <s v="ORD-5160"/>
        <s v="ORD-5161"/>
        <s v="ORD-5162"/>
        <s v="ORD-5163"/>
        <s v="ORD-5164"/>
        <s v="ORD-5165"/>
        <s v="ORD-5166"/>
        <s v="ORD-5167"/>
        <s v="ORD-5168"/>
        <s v="ORD-5169"/>
        <s v="ORD-5170"/>
        <s v="ORD-5171"/>
        <s v="ORD-5172"/>
        <s v="ORD-5173"/>
        <s v="ORD-5174"/>
        <s v="ORD-5175"/>
        <s v="ORD-5176"/>
        <s v="ORD-5177"/>
        <s v="ORD-5178"/>
        <s v="ORD-5179"/>
        <s v="ORD-5180"/>
        <s v="ORD-5181"/>
        <s v="ORD-5182"/>
        <s v="ORD-5183"/>
        <s v="ORD-5184"/>
        <s v="ORD-5185"/>
        <s v="ORD-5186"/>
        <s v="ORD-5187"/>
        <s v="ORD-5188"/>
        <s v="ORD-5189"/>
        <s v="ORD-5190"/>
        <s v="ORD-5191"/>
        <s v="ORD-5192"/>
        <s v="ORD-5193"/>
        <s v="ORD-5194"/>
        <s v="ORD-5195"/>
        <s v="ORD-5196"/>
        <s v="ORD-5197"/>
        <s v="ORD-5198"/>
        <s v="ORD-5199"/>
        <s v="ORD-5200"/>
        <s v="ORD-5201"/>
        <s v="ORD-5202"/>
        <s v="ORD-5203"/>
        <s v="ORD-5204"/>
        <s v="ORD-5205"/>
        <s v="ORD-5206"/>
        <s v="ORD-5207"/>
        <s v="ORD-5208"/>
        <s v="ORD-5209"/>
        <s v="ORD-5210"/>
        <s v="ORD-5211"/>
        <s v="ORD-5212"/>
        <s v="ORD-5213"/>
        <s v="ORD-5214"/>
        <s v="ORD-5215"/>
        <s v="ORD-5216"/>
        <s v="ORD-5217"/>
        <s v="ORD-5218"/>
        <s v="ORD-5219"/>
        <s v="ORD-5220"/>
        <s v="ORD-5221"/>
        <s v="ORD-5222"/>
        <s v="ORD-5223"/>
        <s v="ORD-5224"/>
        <s v="ORD-5225"/>
        <s v="ORD-5226"/>
        <s v="ORD-5227"/>
        <s v="ORD-5228"/>
        <s v="ORD-5229"/>
        <s v="ORD-5230"/>
        <s v="ORD-5231"/>
        <s v="ORD-5232"/>
        <s v="ORD-5233"/>
        <s v="ORD-5234"/>
        <s v="ORD-5235"/>
        <s v="ORD-5236"/>
        <s v="ORD-5237"/>
        <s v="ORD-5238"/>
        <s v="ORD-5239"/>
        <s v="ORD-5240"/>
        <s v="ORD-5241"/>
        <s v="ORD-5242"/>
        <s v="ORD-5243"/>
        <s v="ORD-5244"/>
        <s v="ORD-5245"/>
        <s v="ORD-5246"/>
        <s v="ORD-5247"/>
        <s v="ORD-5248"/>
        <s v="ORD-5249"/>
        <s v="ORD-5250"/>
        <s v="ORD-5251"/>
        <s v="ORD-5252"/>
        <s v="ORD-5253"/>
        <s v="ORD-5254"/>
        <s v="ORD-5255"/>
        <s v="ORD-5256"/>
        <s v="ORD-5257"/>
        <s v="ORD-5258"/>
        <s v="ORD-5259"/>
        <s v="ORD-5260"/>
        <s v="ORD-5261"/>
        <s v="ORD-5262"/>
        <s v="ORD-5263"/>
        <s v="ORD-5264"/>
        <s v="ORD-5265"/>
        <s v="ORD-5266"/>
        <s v="ORD-5267"/>
        <s v="ORD-5268"/>
        <s v="ORD-5269"/>
        <s v="ORD-5270"/>
        <s v="ORD-5271"/>
        <s v="ORD-5272"/>
        <s v="ORD-5273"/>
        <s v="ORD-5274"/>
        <s v="ORD-5275"/>
        <s v="ORD-5276"/>
        <s v="ORD-5277"/>
        <s v="ORD-5278"/>
        <s v="ORD-5279"/>
        <s v="ORD-5280"/>
        <s v="ORD-5281"/>
        <s v="ORD-5282"/>
        <s v="ORD-5283"/>
        <s v="ORD-5284"/>
        <s v="ORD-5285"/>
        <s v="ORD-5286"/>
        <s v="ORD-5287"/>
        <s v="ORD-5288"/>
        <s v="ORD-5289"/>
        <s v="ORD-5290"/>
        <s v="ORD-5291"/>
        <s v="ORD-5292"/>
        <s v="ORD-5293"/>
        <s v="ORD-5294"/>
        <s v="ORD-5295"/>
        <s v="ORD-5296"/>
        <s v="ORD-5297"/>
        <s v="ORD-5298"/>
        <s v="ORD-5299"/>
        <s v="ORD-5300"/>
        <s v="ORD-5301"/>
        <s v="ORD-5302"/>
        <s v="ORD-5303"/>
        <s v="ORD-5304"/>
        <s v="ORD-5305"/>
        <s v="ORD-5306"/>
        <s v="ORD-5307"/>
        <s v="ORD-5308"/>
        <s v="ORD-5309"/>
        <s v="ORD-5310"/>
        <s v="ORD-5311"/>
        <s v="ORD-5312"/>
        <s v="ORD-5313"/>
        <s v="ORD-5314"/>
        <s v="ORD-5315"/>
        <s v="ORD-5316"/>
        <s v="ORD-5317"/>
        <s v="ORD-5318"/>
        <s v="ORD-5319"/>
        <s v="ORD-5320"/>
        <s v="ORD-5321"/>
        <s v="ORD-5322"/>
        <s v="ORD-5323"/>
        <s v="ORD-5324"/>
        <s v="ORD-5325"/>
        <s v="ORD-5326"/>
        <s v="ORD-5327"/>
        <s v="ORD-5328"/>
        <s v="ORD-5329"/>
        <s v="ORD-5330"/>
        <s v="ORD-5331"/>
        <s v="ORD-5332"/>
        <s v="ORD-5333"/>
        <s v="ORD-5334"/>
        <s v="ORD-5335"/>
        <s v="ORD-5336"/>
        <s v="ORD-5337"/>
        <s v="ORD-5338"/>
        <s v="ORD-5339"/>
        <s v="ORD-5340"/>
        <s v="ORD-5341"/>
        <s v="ORD-5342"/>
        <s v="ORD-5343"/>
        <s v="ORD-5344"/>
        <s v="ORD-5345"/>
        <s v="ORD-5346"/>
        <s v="ORD-5347"/>
        <s v="ORD-5348"/>
        <s v="ORD-5349"/>
        <s v="ORD-5350"/>
        <s v="ORD-5351"/>
        <s v="ORD-5352"/>
        <s v="ORD-5353"/>
        <s v="ORD-5354"/>
        <s v="ORD-5355"/>
        <s v="ORD-5356"/>
        <s v="ORD-5357"/>
        <s v="ORD-5358"/>
        <s v="ORD-5359"/>
        <s v="ORD-5360"/>
        <s v="ORD-5361"/>
        <s v="ORD-5362"/>
        <s v="ORD-5363"/>
        <s v="ORD-5364"/>
        <s v="ORD-5365"/>
        <s v="ORD-5366"/>
        <s v="ORD-5367"/>
        <s v="ORD-5368"/>
        <s v="ORD-5369"/>
        <s v="ORD-5370"/>
        <s v="ORD-5371"/>
        <s v="ORD-5372"/>
        <s v="ORD-5373"/>
        <s v="ORD-5374"/>
        <s v="ORD-5375"/>
        <s v="ORD-5376"/>
        <s v="ORD-5377"/>
        <s v="ORD-5378"/>
        <s v="ORD-5379"/>
        <s v="ORD-5380"/>
        <s v="ORD-5381"/>
        <s v="ORD-5382"/>
        <s v="ORD-5383"/>
        <s v="ORD-5384"/>
        <s v="ORD-5385"/>
        <s v="ORD-5386"/>
        <s v="ORD-5387"/>
        <s v="ORD-5388"/>
        <s v="ORD-5389"/>
        <s v="ORD-5390"/>
        <s v="ORD-5391"/>
        <s v="ORD-5392"/>
        <s v="ORD-5393"/>
        <s v="ORD-5394"/>
        <s v="ORD-5395"/>
        <s v="ORD-5396"/>
        <s v="ORD-5397"/>
        <s v="ORD-5398"/>
        <s v="ORD-5399"/>
        <s v="ORD-5400"/>
        <s v="ORD-5401"/>
        <s v="ORD-5402"/>
        <s v="ORD-5403"/>
        <s v="ORD-5404"/>
        <s v="ORD-5405"/>
        <s v="ORD-5406"/>
        <s v="ORD-5407"/>
        <s v="ORD-5408"/>
        <s v="ORD-5409"/>
        <s v="ORD-5410"/>
        <s v="ORD-5411"/>
        <s v="ORD-5412"/>
        <s v="ORD-5413"/>
        <s v="ORD-5414"/>
        <s v="ORD-5415"/>
        <s v="ORD-5416"/>
        <s v="ORD-5417"/>
        <s v="ORD-5418"/>
        <s v="ORD-5419"/>
        <s v="ORD-5420"/>
        <s v="ORD-5421"/>
        <s v="ORD-5422"/>
        <s v="ORD-5423"/>
        <s v="ORD-5424"/>
        <s v="ORD-5425"/>
        <s v="ORD-5426"/>
        <s v="ORD-5427"/>
        <s v="ORD-5428"/>
        <s v="ORD-5429"/>
        <s v="ORD-5430"/>
        <s v="ORD-5431"/>
        <s v="ORD-5432"/>
        <s v="ORD-5433"/>
        <s v="ORD-5434"/>
        <s v="ORD-5435"/>
        <s v="ORD-5436"/>
        <s v="ORD-5437"/>
        <s v="ORD-5438"/>
        <s v="ORD-5439"/>
        <s v="ORD-5440"/>
        <s v="ORD-5441"/>
        <s v="ORD-5442"/>
        <s v="ORD-5443"/>
        <s v="ORD-5444"/>
        <s v="ORD-5445"/>
        <s v="ORD-5446"/>
        <s v="ORD-5447"/>
        <s v="ORD-5448"/>
        <s v="ORD-5449"/>
        <s v="ORD-5450"/>
        <s v="ORD-5451"/>
        <s v="ORD-5452"/>
        <s v="ORD-5453"/>
        <s v="ORD-5454"/>
        <s v="ORD-5455"/>
        <s v="ORD-5456"/>
        <s v="ORD-5457"/>
        <s v="ORD-5458"/>
        <s v="ORD-5459"/>
        <s v="ORD-5460"/>
        <s v="ORD-5461"/>
        <s v="ORD-5462"/>
        <s v="ORD-5463"/>
        <s v="ORD-5464"/>
        <s v="ORD-5465"/>
        <s v="ORD-5466"/>
        <s v="ORD-5467"/>
        <s v="ORD-5468"/>
        <s v="ORD-5469"/>
        <s v="ORD-5470"/>
        <s v="ORD-5471"/>
        <s v="ORD-5472"/>
        <s v="ORD-5473"/>
        <s v="ORD-5474"/>
        <s v="ORD-5475"/>
        <s v="ORD-5476"/>
        <s v="ORD-5477"/>
        <s v="ORD-5478"/>
        <s v="ORD-5479"/>
        <s v="ORD-5480"/>
        <s v="ORD-5481"/>
        <s v="ORD-5482"/>
        <s v="ORD-5483"/>
        <s v="ORD-5484"/>
        <s v="ORD-5485"/>
        <s v="ORD-5486"/>
        <s v="ORD-5487"/>
        <s v="ORD-5488"/>
        <s v="ORD-5489"/>
        <s v="ORD-5490"/>
        <s v="ORD-5491"/>
        <s v="ORD-5492"/>
        <s v="ORD-5493"/>
        <s v="ORD-5494"/>
        <s v="ORD-5495"/>
        <s v="ORD-5496"/>
        <s v="ORD-5497"/>
        <s v="ORD-5498"/>
        <s v="ORD-5499"/>
        <s v="ORD-5500"/>
      </sharedItems>
    </cacheField>
    <cacheField name="OrderDate" numFmtId="164">
      <sharedItems containsSemiMixedTypes="0" containsDate="1" containsString="0">
        <d v="2022-02-07T00:00:00Z"/>
        <d v="2023-05-05T00:00:00Z"/>
        <d v="2025-05-11T00:00:00Z"/>
        <d v="2025-10-13T00:00:00Z"/>
        <d v="2025-04-19T00:00:00Z"/>
        <d v="2023-06-26T00:00:00Z"/>
        <d v="2022-03-29T00:00:00Z"/>
        <d v="2022-07-04T00:00:00Z"/>
        <d v="2025-07-26T00:00:00Z"/>
        <d v="2022-03-27T00:00:00Z"/>
        <d v="2023-04-16T00:00:00Z"/>
        <d v="2022-09-25T00:00:00Z"/>
        <d v="2026-02-02T00:00:00Z"/>
        <d v="2025-08-14T00:00:00Z"/>
        <d v="2023-02-03T00:00:00Z"/>
        <d v="2024-05-12T00:00:00Z"/>
        <d v="2023-08-14T00:00:00Z"/>
        <d v="2022-05-30T00:00:00Z"/>
        <d v="2024-05-07T00:00:00Z"/>
        <d v="2023-05-08T00:00:00Z"/>
        <d v="2025-11-07T00:00:00Z"/>
        <d v="2023-02-18T00:00:00Z"/>
        <d v="2024-12-31T00:00:00Z"/>
        <d v="2025-11-14T00:00:00Z"/>
        <d v="2024-08-28T00:00:00Z"/>
        <d v="2022-11-17T00:00:00Z"/>
        <d v="2025-10-05T00:00:00Z"/>
        <d v="2023-04-24T00:00:00Z"/>
        <d v="2025-01-23T00:00:00Z"/>
        <d v="2025-07-10T00:00:00Z"/>
        <d v="2022-12-24T00:00:00Z"/>
        <d v="2025-08-22T00:00:00Z"/>
        <d v="2023-04-01T00:00:00Z"/>
        <d v="2025-04-21T00:00:00Z"/>
        <d v="2022-11-02T00:00:00Z"/>
        <d v="2023-02-26T00:00:00Z"/>
        <d v="2025-01-19T00:00:00Z"/>
        <d v="2023-06-15T00:00:00Z"/>
        <d v="2022-01-30T00:00:00Z"/>
        <d v="2025-12-09T00:00:00Z"/>
        <d v="2024-05-22T00:00:00Z"/>
        <d v="2024-09-28T00:00:00Z"/>
        <d v="2025-02-22T00:00:00Z"/>
        <d v="2023-03-19T00:00:00Z"/>
        <d v="2022-01-06T00:00:00Z"/>
        <d v="2022-04-19T00:00:00Z"/>
        <d v="2024-02-24T00:00:00Z"/>
        <d v="2023-01-14T00:00:00Z"/>
        <d v="2023-04-02T00:00:00Z"/>
        <d v="2023-10-23T00:00:00Z"/>
        <d v="2025-06-03T00:00:00Z"/>
        <d v="2024-08-27T00:00:00Z"/>
        <d v="2025-08-10T00:00:00Z"/>
        <d v="2022-01-22T00:00:00Z"/>
        <d v="2024-10-04T00:00:00Z"/>
        <d v="2022-09-24T00:00:00Z"/>
        <d v="2023-09-04T00:00:00Z"/>
        <d v="2025-10-27T00:00:00Z"/>
        <d v="2025-07-03T00:00:00Z"/>
        <d v="2024-02-10T00:00:00Z"/>
        <d v="2024-01-16T00:00:00Z"/>
        <d v="2026-01-14T00:00:00Z"/>
        <d v="2023-12-24T00:00:00Z"/>
        <d v="2024-01-19T00:00:00Z"/>
        <d v="2022-12-07T00:00:00Z"/>
        <d v="2025-11-20T00:00:00Z"/>
        <d v="2024-03-23T00:00:00Z"/>
        <d v="2024-09-26T00:00:00Z"/>
        <d v="2022-11-15T00:00:00Z"/>
        <d v="2025-11-18T00:00:00Z"/>
        <d v="2023-06-24T00:00:00Z"/>
        <d v="2025-08-11T00:00:00Z"/>
        <d v="2023-05-30T00:00:00Z"/>
        <d v="2023-09-12T00:00:00Z"/>
        <d v="2022-07-16T00:00:00Z"/>
        <d v="2022-06-19T00:00:00Z"/>
        <d v="2023-04-11T00:00:00Z"/>
        <d v="2025-05-09T00:00:00Z"/>
        <d v="2023-09-15T00:00:00Z"/>
        <d v="2025-04-04T00:00:00Z"/>
        <d v="2022-07-07T00:00:00Z"/>
        <d v="2025-11-17T00:00:00Z"/>
        <d v="2022-10-12T00:00:00Z"/>
        <d v="2025-08-03T00:00:00Z"/>
        <d v="2023-11-14T00:00:00Z"/>
        <d v="2023-03-27T00:00:00Z"/>
        <d v="2024-07-09T00:00:00Z"/>
        <d v="2023-02-23T00:00:00Z"/>
        <d v="2022-11-29T00:00:00Z"/>
        <d v="2023-03-12T00:00:00Z"/>
        <d v="2022-05-12T00:00:00Z"/>
        <d v="2023-01-03T00:00:00Z"/>
        <d v="2024-01-09T00:00:00Z"/>
        <d v="2022-04-10T00:00:00Z"/>
        <d v="2025-05-22T00:00:00Z"/>
        <d v="2025-01-21T00:00:00Z"/>
        <d v="2025-02-09T00:00:00Z"/>
        <d v="2023-09-10T00:00:00Z"/>
        <d v="2023-11-11T00:00:00Z"/>
        <d v="2023-07-16T00:00:00Z"/>
        <d v="2025-12-04T00:00:00Z"/>
        <d v="2024-03-12T00:00:00Z"/>
        <d v="2023-02-01T00:00:00Z"/>
        <d v="2022-02-27T00:00:00Z"/>
        <d v="2022-08-13T00:00:00Z"/>
        <d v="2023-09-02T00:00:00Z"/>
        <d v="2022-03-23T00:00:00Z"/>
        <d v="2024-07-19T00:00:00Z"/>
        <d v="2022-02-10T00:00:00Z"/>
        <d v="2024-04-25T00:00:00Z"/>
        <d v="2022-09-22T00:00:00Z"/>
        <d v="2025-11-15T00:00:00Z"/>
        <d v="2026-01-07T00:00:00Z"/>
        <d v="2022-06-15T00:00:00Z"/>
        <d v="2024-01-01T00:00:00Z"/>
        <d v="2024-09-19T00:00:00Z"/>
        <d v="2022-05-09T00:00:00Z"/>
        <d v="2022-04-18T00:00:00Z"/>
        <d v="2023-01-30T00:00:00Z"/>
        <d v="2022-06-24T00:00:00Z"/>
        <d v="2022-04-26T00:00:00Z"/>
        <d v="2023-08-08T00:00:00Z"/>
        <d v="2025-05-23T00:00:00Z"/>
        <d v="2025-06-22T00:00:00Z"/>
        <d v="2024-06-03T00:00:00Z"/>
        <d v="2023-07-05T00:00:00Z"/>
        <d v="2023-05-14T00:00:00Z"/>
        <d v="2022-12-30T00:00:00Z"/>
        <d v="2024-02-20T00:00:00Z"/>
        <d v="2025-01-31T00:00:00Z"/>
        <d v="2023-09-07T00:00:00Z"/>
        <d v="2024-12-27T00:00:00Z"/>
        <d v="2022-04-21T00:00:00Z"/>
        <d v="2025-08-01T00:00:00Z"/>
        <d v="2023-05-23T00:00:00Z"/>
        <d v="2025-09-06T00:00:00Z"/>
        <d v="2023-09-29T00:00:00Z"/>
        <d v="2024-06-07T00:00:00Z"/>
        <d v="2022-05-05T00:00:00Z"/>
        <d v="2025-09-28T00:00:00Z"/>
        <d v="2025-10-18T00:00:00Z"/>
        <d v="2023-03-13T00:00:00Z"/>
        <d v="2022-02-18T00:00:00Z"/>
        <d v="2023-07-10T00:00:00Z"/>
        <d v="2022-03-24T00:00:00Z"/>
        <d v="2024-02-16T00:00:00Z"/>
        <d v="2025-03-06T00:00:00Z"/>
        <d v="2023-03-09T00:00:00Z"/>
        <d v="2024-12-15T00:00:00Z"/>
        <d v="2022-07-20T00:00:00Z"/>
        <d v="2025-09-18T00:00:00Z"/>
        <d v="2024-12-01T00:00:00Z"/>
        <d v="2022-12-02T00:00:00Z"/>
        <d v="2026-01-02T00:00:00Z"/>
        <d v="2022-05-08T00:00:00Z"/>
        <d v="2023-02-24T00:00:00Z"/>
        <d v="2024-03-06T00:00:00Z"/>
        <d v="2023-04-08T00:00:00Z"/>
        <d v="2023-06-11T00:00:00Z"/>
        <d v="2023-08-29T00:00:00Z"/>
        <d v="2025-09-29T00:00:00Z"/>
        <d v="2023-08-22T00:00:00Z"/>
        <d v="2023-06-18T00:00:00Z"/>
        <d v="2022-07-08T00:00:00Z"/>
        <d v="2022-12-05T00:00:00Z"/>
        <d v="2025-03-26T00:00:00Z"/>
        <d v="2025-01-09T00:00:00Z"/>
        <d v="2024-01-31T00:00:00Z"/>
        <d v="2023-07-04T00:00:00Z"/>
        <d v="2024-11-11T00:00:00Z"/>
        <d v="2024-03-04T00:00:00Z"/>
        <d v="2026-02-17T00:00:00Z"/>
        <d v="2022-02-16T00:00:00Z"/>
        <d v="2025-10-15T00:00:00Z"/>
        <d v="2022-04-28T00:00:00Z"/>
        <d v="2024-02-02T00:00:00Z"/>
        <d v="2024-11-05T00:00:00Z"/>
        <d v="2023-11-27T00:00:00Z"/>
        <d v="2023-02-17T00:00:00Z"/>
        <d v="2024-12-04T00:00:00Z"/>
        <d v="2023-04-15T00:00:00Z"/>
        <d v="2023-12-03T00:00:00Z"/>
        <d v="2024-11-14T00:00:00Z"/>
        <d v="2023-02-08T00:00:00Z"/>
        <d v="2024-05-14T00:00:00Z"/>
        <d v="2023-08-12T00:00:00Z"/>
        <d v="2022-11-22T00:00:00Z"/>
        <d v="2022-02-17T00:00:00Z"/>
        <d v="2023-10-28T00:00:00Z"/>
        <d v="2025-04-16T00:00:00Z"/>
        <d v="2022-03-21T00:00:00Z"/>
        <d v="2024-09-02T00:00:00Z"/>
        <d v="2023-04-10T00:00:00Z"/>
        <d v="2023-08-01T00:00:00Z"/>
        <d v="2025-12-19T00:00:00Z"/>
        <d v="2022-01-11T00:00:00Z"/>
        <d v="2023-10-27T00:00:00Z"/>
        <d v="2022-11-28T00:00:00Z"/>
        <d v="2022-08-09T00:00:00Z"/>
        <d v="2025-01-11T00:00:00Z"/>
        <d v="2023-06-13T00:00:00Z"/>
        <d v="2022-02-06T00:00:00Z"/>
        <d v="2023-09-28T00:00:00Z"/>
        <d v="2023-01-08T00:00:00Z"/>
        <d v="2022-06-18T00:00:00Z"/>
        <d v="2022-03-08T00:00:00Z"/>
        <d v="2025-06-06T00:00:00Z"/>
        <d v="2023-05-11T00:00:00Z"/>
        <d v="2025-05-04T00:00:00Z"/>
        <d v="2023-07-29T00:00:00Z"/>
        <d v="2023-10-31T00:00:00Z"/>
        <d v="2025-08-02T00:00:00Z"/>
        <d v="2023-04-25T00:00:00Z"/>
        <d v="2022-09-30T00:00:00Z"/>
        <d v="2023-06-20T00:00:00Z"/>
        <d v="2025-08-07T00:00:00Z"/>
        <d v="2024-02-08T00:00:00Z"/>
        <d v="2024-11-27T00:00:00Z"/>
        <d v="2024-07-26T00:00:00Z"/>
        <d v="2025-12-29T00:00:00Z"/>
        <d v="2024-07-02T00:00:00Z"/>
        <d v="2022-12-14T00:00:00Z"/>
        <d v="2023-04-30T00:00:00Z"/>
        <d v="2025-07-25T00:00:00Z"/>
        <d v="2024-12-11T00:00:00Z"/>
        <d v="2025-09-13T00:00:00Z"/>
        <d v="2025-09-09T00:00:00Z"/>
        <d v="2025-11-22T00:00:00Z"/>
        <d v="2022-01-27T00:00:00Z"/>
        <d v="2022-09-01T00:00:00Z"/>
        <d v="2026-02-27T00:00:00Z"/>
        <d v="2023-08-25T00:00:00Z"/>
        <d v="2023-06-28T00:00:00Z"/>
        <d v="2023-07-13T00:00:00Z"/>
        <d v="2024-07-10T00:00:00Z"/>
        <d v="2025-10-10T00:00:00Z"/>
        <d v="2025-04-30T00:00:00Z"/>
        <d v="2022-10-18T00:00:00Z"/>
        <d v="2024-08-14T00:00:00Z"/>
        <d v="2025-07-19T00:00:00Z"/>
        <d v="2026-03-03T00:00:00Z"/>
        <d v="2022-03-01T00:00:00Z"/>
        <d v="2024-02-25T00:00:00Z"/>
        <d v="2022-06-25T00:00:00Z"/>
        <d v="2022-01-14T00:00:00Z"/>
        <d v="2025-02-02T00:00:00Z"/>
        <d v="2024-07-15T00:00:00Z"/>
        <d v="2022-11-06T00:00:00Z"/>
        <d v="2024-02-11T00:00:00Z"/>
        <d v="2022-02-11T00:00:00Z"/>
        <d v="2022-04-27T00:00:00Z"/>
        <d v="2025-05-26T00:00:00Z"/>
        <d v="2023-08-11T00:00:00Z"/>
        <d v="2023-04-07T00:00:00Z"/>
        <d v="2024-10-03T00:00:00Z"/>
        <d v="2022-10-29T00:00:00Z"/>
        <d v="2023-11-19T00:00:00Z"/>
        <d v="2023-05-10T00:00:00Z"/>
        <d v="2025-09-08T00:00:00Z"/>
        <d v="2022-10-21T00:00:00Z"/>
        <d v="2024-07-13T00:00:00Z"/>
        <d v="2026-01-08T00:00:00Z"/>
        <d v="2022-08-25T00:00:00Z"/>
        <d v="2022-05-14T00:00:00Z"/>
        <d v="2024-12-18T00:00:00Z"/>
        <d v="2022-11-04T00:00:00Z"/>
        <d v="2025-10-31T00:00:00Z"/>
        <d v="2022-05-02T00:00:00Z"/>
        <d v="2023-01-06T00:00:00Z"/>
        <d v="2025-11-21T00:00:00Z"/>
        <d v="2023-10-12T00:00:00Z"/>
        <d v="2023-01-25T00:00:00Z"/>
        <d v="2024-01-17T00:00:00Z"/>
        <d v="2025-05-15T00:00:00Z"/>
        <d v="2022-08-29T00:00:00Z"/>
        <d v="2022-05-22T00:00:00Z"/>
        <d v="2024-07-04T00:00:00Z"/>
        <d v="2026-02-01T00:00:00Z"/>
        <d v="2023-04-26T00:00:00Z"/>
        <d v="2024-10-15T00:00:00Z"/>
        <d v="2023-03-06T00:00:00Z"/>
        <d v="2023-11-15T00:00:00Z"/>
        <d v="2023-12-17T00:00:00Z"/>
        <d v="2022-07-06T00:00:00Z"/>
        <d v="2025-04-26T00:00:00Z"/>
        <d v="2024-06-13T00:00:00Z"/>
        <d v="2025-04-18T00:00:00Z"/>
        <d v="2025-11-03T00:00:00Z"/>
        <d v="2024-11-17T00:00:00Z"/>
        <d v="2024-12-20T00:00:00Z"/>
        <d v="2023-05-24T00:00:00Z"/>
        <d v="2025-01-30T00:00:00Z"/>
        <d v="2023-10-11T00:00:00Z"/>
        <d v="2024-05-25T00:00:00Z"/>
        <d v="2023-07-02T00:00:00Z"/>
        <d v="2025-11-25T00:00:00Z"/>
        <d v="2023-02-14T00:00:00Z"/>
        <d v="2025-01-24T00:00:00Z"/>
        <d v="2024-09-15T00:00:00Z"/>
        <d v="2025-04-24T00:00:00Z"/>
        <d v="2022-09-03T00:00:00Z"/>
        <d v="2022-07-05T00:00:00Z"/>
        <d v="2023-08-21T00:00:00Z"/>
        <d v="2023-03-02T00:00:00Z"/>
        <d v="2025-12-23T00:00:00Z"/>
        <d v="2022-08-16T00:00:00Z"/>
        <d v="2022-03-02T00:00:00Z"/>
        <d v="2023-12-30T00:00:00Z"/>
        <d v="2023-09-23T00:00:00Z"/>
        <d v="2023-09-08T00:00:00Z"/>
        <d v="2023-07-17T00:00:00Z"/>
        <d v="2022-08-05T00:00:00Z"/>
        <d v="2023-01-02T00:00:00Z"/>
        <d v="2025-04-11T00:00:00Z"/>
        <d v="2024-05-01T00:00:00Z"/>
        <d v="2024-05-08T00:00:00Z"/>
        <d v="2023-10-21T00:00:00Z"/>
        <d v="2022-08-01T00:00:00Z"/>
        <d v="2025-07-05T00:00:00Z"/>
        <d v="2024-03-17T00:00:00Z"/>
        <d v="2023-05-27T00:00:00Z"/>
        <d v="2023-11-25T00:00:00Z"/>
        <d v="2024-10-14T00:00:00Z"/>
        <d v="2023-06-01T00:00:00Z"/>
        <d v="2024-12-05T00:00:00Z"/>
        <d v="2022-09-09T00:00:00Z"/>
        <d v="2022-01-07T00:00:00Z"/>
        <d v="2024-03-01T00:00:00Z"/>
        <d v="2025-03-08T00:00:00Z"/>
        <d v="2022-09-04T00:00:00Z"/>
        <d v="2024-03-29T00:00:00Z"/>
        <d v="2024-04-23T00:00:00Z"/>
        <d v="2025-03-20T00:00:00Z"/>
        <d v="2022-11-09T00:00:00Z"/>
        <d v="2024-10-12T00:00:00Z"/>
        <d v="2023-07-23T00:00:00Z"/>
        <d v="2022-09-20T00:00:00Z"/>
        <d v="2024-01-26T00:00:00Z"/>
        <d v="2022-06-07T00:00:00Z"/>
        <d v="2026-01-11T00:00:00Z"/>
        <d v="2025-06-09T00:00:00Z"/>
        <d v="2023-05-29T00:00:00Z"/>
        <d v="2024-09-13T00:00:00Z"/>
        <d v="2026-03-07T00:00:00Z"/>
        <d v="2022-11-01T00:00:00Z"/>
        <d v="2025-06-21T00:00:00Z"/>
        <d v="2022-01-02T00:00:00Z"/>
        <d v="2022-12-10T00:00:00Z"/>
        <d v="2022-01-23T00:00:00Z"/>
        <d v="2025-06-15T00:00:00Z"/>
        <d v="2026-03-02T00:00:00Z"/>
        <d v="2025-11-23T00:00:00Z"/>
        <d v="2022-05-03T00:00:00Z"/>
        <d v="2025-05-21T00:00:00Z"/>
        <d v="2023-10-03T00:00:00Z"/>
        <d v="2022-10-01T00:00:00Z"/>
        <d v="2022-02-03T00:00:00Z"/>
        <d v="2023-12-27T00:00:00Z"/>
        <d v="2023-05-22T00:00:00Z"/>
        <d v="2022-06-09T00:00:00Z"/>
        <d v="2024-01-02T00:00:00Z"/>
        <d v="2025-12-22T00:00:00Z"/>
        <d v="2025-11-24T00:00:00Z"/>
        <d v="2024-05-09T00:00:00Z"/>
        <d v="2022-11-11T00:00:00Z"/>
        <d v="2023-07-18T00:00:00Z"/>
        <d v="2022-05-26T00:00:00Z"/>
        <d v="2024-10-22T00:00:00Z"/>
        <d v="2024-04-28T00:00:00Z"/>
        <d v="2024-04-21T00:00:00Z"/>
        <d v="2023-06-30T00:00:00Z"/>
        <d v="2024-11-12T00:00:00Z"/>
        <d v="2023-12-10T00:00:00Z"/>
        <d v="2022-06-04T00:00:00Z"/>
        <d v="2022-01-05T00:00:00Z"/>
        <d v="2025-08-23T00:00:00Z"/>
        <d v="2025-11-30T00:00:00Z"/>
        <d v="2026-01-20T00:00:00Z"/>
        <d v="2025-06-14T00:00:00Z"/>
        <d v="2025-11-27T00:00:00Z"/>
        <d v="2023-03-23T00:00:00Z"/>
        <d v="2022-07-23T00:00:00Z"/>
        <d v="2022-07-22T00:00:00Z"/>
        <d v="2024-10-01T00:00:00Z"/>
        <d v="2025-08-17T00:00:00Z"/>
        <d v="2025-02-19T00:00:00Z"/>
        <d v="2024-04-22T00:00:00Z"/>
        <d v="2024-12-30T00:00:00Z"/>
        <d v="2026-02-26T00:00:00Z"/>
        <d v="2022-09-08T00:00:00Z"/>
        <d v="2025-04-27T00:00:00Z"/>
        <d v="2023-02-06T00:00:00Z"/>
        <d v="2024-07-29T00:00:00Z"/>
        <d v="2023-10-25T00:00:00Z"/>
        <d v="2024-01-20T00:00:00Z"/>
        <d v="2025-12-03T00:00:00Z"/>
        <d v="2025-05-05T00:00:00Z"/>
        <d v="2022-12-13T00:00:00Z"/>
        <d v="2022-08-15T00:00:00Z"/>
        <d v="2023-06-03T00:00:00Z"/>
        <d v="2025-10-01T00:00:00Z"/>
        <d v="2024-07-16T00:00:00Z"/>
        <d v="2023-09-06T00:00:00Z"/>
        <d v="2022-06-30T00:00:00Z"/>
        <d v="2023-11-16T00:00:00Z"/>
        <d v="2025-01-10T00:00:00Z"/>
        <d v="2024-10-16T00:00:00Z"/>
        <d v="2025-05-31T00:00:00Z"/>
        <d v="2025-09-04T00:00:00Z"/>
        <d v="2024-06-08T00:00:00Z"/>
        <d v="2026-02-07T00:00:00Z"/>
        <d v="2024-01-22T00:00:00Z"/>
        <d v="2022-08-17T00:00:00Z"/>
        <d v="2024-09-17T00:00:00Z"/>
        <d v="2023-07-22T00:00:00Z"/>
        <d v="2022-05-15T00:00:00Z"/>
        <d v="2025-08-26T00:00:00Z"/>
        <d v="2024-12-02T00:00:00Z"/>
        <d v="2025-04-12T00:00:00Z"/>
        <d v="2022-10-03T00:00:00Z"/>
        <d v="2024-10-13T00:00:00Z"/>
        <d v="2023-08-23T00:00:00Z"/>
        <d v="2025-01-05T00:00:00Z"/>
        <d v="2022-11-18T00:00:00Z"/>
        <d v="2024-04-10T00:00:00Z"/>
        <d v="2026-02-23T00:00:00Z"/>
        <d v="2023-05-25T00:00:00Z"/>
        <d v="2025-06-11T00:00:00Z"/>
        <d v="2024-05-23T00:00:00Z"/>
      </sharedItems>
    </cacheField>
    <cacheField name="CustomerID" numFmtId="0">
      <sharedItems>
        <s v="C2265"/>
        <s v="C2033"/>
        <s v="C2365"/>
        <s v="C2327"/>
        <s v="C2012"/>
        <s v="C2283"/>
        <s v="C2290"/>
        <s v="C2418"/>
        <s v="C2382"/>
        <s v="C2087"/>
        <s v="C2276"/>
        <s v="C2447"/>
        <s v="C2015"/>
        <s v="C2496"/>
        <s v="C2249"/>
        <s v="C2457"/>
        <s v="C2391"/>
        <s v="C2385"/>
        <s v="C2211"/>
        <s v="C2037"/>
        <s v="C2254"/>
        <s v="C2360"/>
        <s v="C2455"/>
        <s v="C2089"/>
        <s v="C2362"/>
        <s v="C2157"/>
        <s v="C2295"/>
        <s v="C2002"/>
        <s v="C2139"/>
        <s v="C2170"/>
        <s v="C2068"/>
        <s v="C2042"/>
        <s v="C2152"/>
        <s v="C2399"/>
        <s v="C2423"/>
        <s v="C2099"/>
        <s v="C2088"/>
        <s v="C2145"/>
        <s v="C2280"/>
        <s v="C2190"/>
        <s v="C2312"/>
        <s v="C2213"/>
        <s v="C2445"/>
        <s v="C2472"/>
        <s v="C2439"/>
        <s v="C2294"/>
        <s v="C2069"/>
        <s v="C2023"/>
        <s v="C2330"/>
        <s v="C2052"/>
        <s v="C2058"/>
        <s v="C2367"/>
        <s v="C2108"/>
        <s v="C2340"/>
        <s v="C2394"/>
        <s v="C2065"/>
        <s v="C2043"/>
        <s v="C2393"/>
        <s v="C2342"/>
        <s v="C2077"/>
        <s v="C2013"/>
        <s v="C2300"/>
        <s v="C2128"/>
        <s v="C2188"/>
        <s v="C2331"/>
        <s v="C2018"/>
        <s v="C2434"/>
        <s v="C2316"/>
        <s v="C2131"/>
        <s v="C2209"/>
        <s v="C2162"/>
        <s v="C2103"/>
        <s v="C2278"/>
        <s v="C2323"/>
        <s v="C2405"/>
        <s v="C2357"/>
        <s v="C2471"/>
        <s v="C2137"/>
        <s v="C2354"/>
        <s v="C2432"/>
        <s v="C2149"/>
        <s v="C2319"/>
        <s v="C2411"/>
        <s v="C2452"/>
        <s v="C2094"/>
        <s v="C2197"/>
        <s v="C2064"/>
        <s v="C2225"/>
        <s v="C2027"/>
        <s v="C2073"/>
        <s v="C2361"/>
        <s v="C2469"/>
        <s v="C2458"/>
        <s v="C2430"/>
        <s v="C2154"/>
        <s v="C2204"/>
        <s v="C2252"/>
        <s v="C2346"/>
        <s v="C2409"/>
        <s v="C2406"/>
        <s v="C2381"/>
        <s v="C2024"/>
        <s v="C2374"/>
        <s v="C2299"/>
        <s v="C2036"/>
        <s v="C2460"/>
        <s v="C2403"/>
        <s v="C2459"/>
        <s v="C2251"/>
        <s v="C2090"/>
        <s v="C2291"/>
        <s v="C2348"/>
        <s v="C2096"/>
        <s v="C2173"/>
        <s v="C2102"/>
        <s v="C2178"/>
        <s v="C2080"/>
        <s v="C2056"/>
        <s v="C2408"/>
        <s v="C2196"/>
        <s v="C2378"/>
        <s v="C2380"/>
        <s v="C2034"/>
        <s v="C2417"/>
        <s v="C2030"/>
        <s v="C2433"/>
        <s v="C2474"/>
        <s v="C2241"/>
        <s v="C2070"/>
        <s v="C2344"/>
        <s v="C2373"/>
        <s v="C2271"/>
        <s v="C2174"/>
        <s v="C2161"/>
        <s v="C2125"/>
        <s v="C2335"/>
        <s v="C2498"/>
        <s v="C2298"/>
        <s v="C2208"/>
        <s v="C2055"/>
        <s v="C2109"/>
        <s v="C2022"/>
        <s v="C2186"/>
        <s v="C2238"/>
        <s v="C2187"/>
        <s v="C2309"/>
        <s v="C2169"/>
        <s v="C2057"/>
        <s v="C2192"/>
        <s v="C2402"/>
        <s v="C2194"/>
        <s v="C2172"/>
        <s v="C2333"/>
        <s v="C2066"/>
        <s v="C2268"/>
        <s v="C2164"/>
        <s v="C2487"/>
        <s v="C2239"/>
        <s v="C2132"/>
        <s v="C2383"/>
        <s v="C2140"/>
        <s v="C2453"/>
        <s v="C2410"/>
        <s v="C2150"/>
        <s v="C2180"/>
        <s v="C2428"/>
        <s v="C2078"/>
        <s v="C2450"/>
        <s v="C2144"/>
        <s v="C2476"/>
        <s v="C2441"/>
        <s v="C2222"/>
        <s v="C2468"/>
        <s v="C2258"/>
        <s v="C2110"/>
        <s v="C2160"/>
        <s v="C2136"/>
        <s v="C2118"/>
        <s v="C2318"/>
        <s v="C2014"/>
        <s v="C2111"/>
        <s v="C2006"/>
        <s v="C2284"/>
        <s v="C2168"/>
        <s v="C2008"/>
        <s v="C2486"/>
        <s v="C2282"/>
        <s v="C2421"/>
        <s v="C2416"/>
        <s v="C2435"/>
        <s v="C2431"/>
        <s v="C2332"/>
        <s v="C2267"/>
        <s v="C2112"/>
        <s v="C2221"/>
        <s v="C2021"/>
        <s v="C2050"/>
        <s v="C2375"/>
        <s v="C2397"/>
        <s v="C2286"/>
        <s v="C2437"/>
        <s v="C2260"/>
        <s v="C2338"/>
        <s v="C2046"/>
        <s v="C2396"/>
        <s v="C2165"/>
        <s v="C2328"/>
        <s v="C2464"/>
        <s v="C2175"/>
        <s v="C2321"/>
        <s v="C2176"/>
        <s v="C2269"/>
        <s v="C2035"/>
        <s v="C2245"/>
        <s v="C2205"/>
        <s v="C2389"/>
        <s v="C2253"/>
        <s v="C2244"/>
        <s v="C2470"/>
        <s v="C2427"/>
        <s v="C2193"/>
        <s v="C2113"/>
        <s v="C2359"/>
        <s v="C2123"/>
        <s v="C2203"/>
        <s v="C2451"/>
        <s v="C2240"/>
        <s v="C2303"/>
        <s v="C2232"/>
        <s v="C2153"/>
        <s v="C2324"/>
        <s v="C2310"/>
        <s v="C2289"/>
        <s v="C2199"/>
        <s v="C2086"/>
        <s v="C2499"/>
        <s v="C2462"/>
        <s v="C2016"/>
        <s v="C2456"/>
        <s v="C2155"/>
        <s v="C2415"/>
        <s v="C2491"/>
        <s v="C2325"/>
        <s v="C2366"/>
        <s v="C2272"/>
        <s v="C2183"/>
        <s v="C2257"/>
        <s v="C2072"/>
        <s v="C2293"/>
        <s v="C2305"/>
        <s v="C2358"/>
        <s v="C2273"/>
        <s v="C2214"/>
        <s v="C2019"/>
        <s v="C2061"/>
        <s v="C2350"/>
        <s v="C2448"/>
        <s v="C2369"/>
        <s v="C2401"/>
        <s v="C2449"/>
        <s v="C2098"/>
        <s v="C2185"/>
        <s v="C2481"/>
        <s v="C2279"/>
        <s v="C2138"/>
        <s v="C2091"/>
        <s v="C2395"/>
        <s v="C2296"/>
        <s v="C2372"/>
        <s v="C2159"/>
        <s v="C2104"/>
        <s v="C2011"/>
        <s v="C2010"/>
        <s v="C2143"/>
        <s v="C2243"/>
        <s v="C2054"/>
        <s v="C2041"/>
        <s v="C2355"/>
        <s v="C2048"/>
        <s v="C2341"/>
        <s v="C2074"/>
        <s v="C2446"/>
        <s v="C2171"/>
        <s v="C2005"/>
        <s v="C2117"/>
        <s v="C2250"/>
        <s v="C2067"/>
        <s v="C2230"/>
        <s v="C2181"/>
        <s v="C2082"/>
        <s v="C2500"/>
        <s v="C2044"/>
        <s v="C2482"/>
        <s v="C2130"/>
        <s v="C2029"/>
        <s v="C2351"/>
        <s v="C2308"/>
        <s v="C2484"/>
        <s v="C2465"/>
        <s v="C2407"/>
        <s v="C2266"/>
        <s v="C2107"/>
        <s v="C2281"/>
        <s v="C2263"/>
        <s v="C2443"/>
        <s v="C2311"/>
        <s v="C2092"/>
        <s v="C2135"/>
        <s v="C2343"/>
        <s v="C2320"/>
        <s v="C2422"/>
        <s v="C2264"/>
        <s v="C2426"/>
        <s v="C2122"/>
        <s v="C2370"/>
        <s v="C2480"/>
        <s v="C2195"/>
        <s v="C2032"/>
        <s v="C2100"/>
        <s v="C2227"/>
        <s v="C2085"/>
        <s v="C2463"/>
        <s v="C2148"/>
        <s v="C2388"/>
        <s v="C2413"/>
        <s v="C2368"/>
        <s v="C2177"/>
        <s v="C2314"/>
        <s v="C2191"/>
        <s v="C2313"/>
        <s v="C2307"/>
        <s v="C2356"/>
      </sharedItems>
    </cacheField>
    <cacheField name="Customer Name" numFmtId="0">
      <sharedItems containsBlank="1">
        <s v="Liam Carter"/>
        <s v="Noah Bennett"/>
        <s v="Oliver Hayes"/>
        <s v="Elijah Brooks"/>
        <s v="James Cooper"/>
        <s v="William Foster"/>
        <s v="Benjamin Ross"/>
        <s v="Lucas Reed"/>
        <s v="Henry Morgan"/>
        <s v="Alexander Scott"/>
        <s v="Emma Watson"/>
        <s v="Olivia Turner"/>
        <s v="Ava Mitchell"/>
        <s v="Sophia Parker"/>
        <s v="Isabella Collins"/>
        <s v="Mia Edwards"/>
        <s v="Charlotte Morris"/>
        <s v="Amelia Rogers"/>
        <s v="Harper Cook"/>
        <s v="Evelyn Bell"/>
        <s v="Daniel Walker"/>
        <s v="Micheal Gray"/>
        <s v="Ethan Ward"/>
        <s v="Jacob Cox"/>
        <s v="Logan Price"/>
        <s v="Chloe Simmons"/>
        <s v="Lily Butler"/>
        <s v="Grace Hughes"/>
        <s v="Zoe Bryant"/>
        <s v="Hannah Perry"/>
        <m/>
      </sharedItems>
    </cacheField>
    <cacheField name="ProductID" numFmtId="0">
      <sharedItems>
        <s v="P1046"/>
        <s v="P1010"/>
        <s v="P1037"/>
        <s v="P1001"/>
        <s v="P1042"/>
        <s v="P1003"/>
        <s v="P1030"/>
        <s v="P1025"/>
        <s v="P1016"/>
        <s v="P1014"/>
        <s v="P1005"/>
        <s v="P1029"/>
        <s v="P1041"/>
        <s v="P1040"/>
        <s v="P1013"/>
        <s v="P1028"/>
        <s v="P1032"/>
        <s v="P1043"/>
        <s v="P1008"/>
        <s v="P1049"/>
        <s v="P1038"/>
        <s v="P1007"/>
        <s v="P1011"/>
        <s v="P1026"/>
        <s v="P1009"/>
        <s v="P1034"/>
        <s v="P1018"/>
        <s v="P1039"/>
        <s v="P1050"/>
        <s v="P1006"/>
        <s v="P1019"/>
        <s v="P1015"/>
        <s v="P1031"/>
        <s v="P1002"/>
        <s v="P1017"/>
        <s v="P1020"/>
        <s v="P1036"/>
        <s v="P1044"/>
        <s v="P1027"/>
        <s v="P1023"/>
        <s v="P1045"/>
        <s v="P1033"/>
        <s v="P1022"/>
        <s v="P1048"/>
        <s v="P1035"/>
        <s v="P1004"/>
        <s v="P1021"/>
        <s v="P1047"/>
        <s v="P1012"/>
        <s v="P1024"/>
      </sharedItems>
    </cacheField>
    <cacheField name="Product Name" numFmtId="0">
      <sharedItems containsBlank="1">
        <s v="Laptop"/>
        <s v="Smartphone"/>
        <s v="Tablet"/>
        <s v="Headphones"/>
        <s v="Camera"/>
        <s v="Printer"/>
        <s v="Monitor"/>
        <s v="Keyboard"/>
        <s v="Mouse"/>
        <s v="Chair"/>
        <s v="Table"/>
        <s v="Sofa"/>
        <s v="Bed"/>
        <s v="Wardrobe"/>
        <s v="Shoes"/>
        <s v="T-Shirt"/>
        <s v="Jeans"/>
        <s v="Watch"/>
        <s v="Bag"/>
        <s v="Sunglasses"/>
        <s v="Belt"/>
        <s v="Bottle"/>
        <s v="Lamp"/>
        <m/>
      </sharedItems>
    </cacheField>
    <cacheField name="Category" numFmtId="0">
      <sharedItems>
        <s v="Electronics"/>
        <s v="Furniture"/>
        <s v="Fashion"/>
        <s v="Accessories"/>
        <s v="Home"/>
      </sharedItems>
    </cacheField>
    <cacheField name="Quantity" numFmtId="0">
      <sharedItems containsSemiMixedTypes="0" containsString="0" containsNumber="1" containsInteger="1">
        <n v="10.0"/>
        <n v="9.0"/>
        <n v="3.0"/>
        <n v="6.0"/>
        <n v="5.0"/>
        <n v="1.0"/>
        <n v="2.0"/>
        <n v="7.0"/>
        <n v="8.0"/>
        <n v="4.0"/>
      </sharedItems>
    </cacheField>
    <cacheField name="UnitPrice" numFmtId="0">
      <sharedItems containsSemiMixedTypes="0" containsString="0" containsNumber="1">
        <n v="83.01"/>
        <n v="75.41"/>
        <n v="115.76"/>
        <n v="144.69"/>
        <n v="90.5"/>
        <n v="187.26"/>
        <n v="100.65"/>
        <n v="65.45"/>
        <n v="156.45"/>
        <n v="54.76"/>
        <n v="160.49"/>
        <n v="104.81"/>
        <n v="133.47"/>
        <n v="161.81"/>
        <n v="59.18"/>
        <n v="82.34"/>
        <n v="52.33"/>
        <n v="183.75"/>
        <n v="190.65"/>
        <n v="62.86"/>
        <n v="73.93"/>
        <n v="37.05"/>
        <n v="114.21"/>
        <n v="128.23"/>
        <n v="74.83"/>
        <n v="191.23"/>
        <n v="131.34"/>
        <n v="52.53"/>
        <n v="161.48"/>
        <n v="143.58"/>
        <n v="193.29"/>
        <n v="144.86"/>
        <n v="44.18"/>
        <n v="109.31"/>
        <n v="43.15"/>
        <n v="94.59"/>
        <n v="146.68"/>
        <n v="138.68"/>
        <n v="152.99"/>
        <n v="70.71"/>
        <n v="159.7"/>
        <n v="170.73"/>
        <n v="164.53"/>
        <n v="174.29"/>
        <n v="35.91"/>
        <n v="89.45"/>
        <n v="140.72"/>
        <n v="73.45"/>
        <n v="143.99"/>
        <n v="122.33"/>
      </sharedItems>
    </cacheField>
    <cacheField name="TotalSale" numFmtId="0">
      <sharedItems containsSemiMixedTypes="0" containsString="0" containsNumber="1">
        <n v="830.1"/>
        <n v="678.69"/>
        <n v="347.28"/>
        <n v="868.14"/>
        <n v="543.0"/>
        <n v="1872.6"/>
        <n v="603.9"/>
        <n v="654.5"/>
        <n v="1564.5"/>
        <n v="273.8"/>
        <n v="802.45"/>
        <n v="104.81"/>
        <n v="1201.23"/>
        <n v="226.23"/>
        <n v="266.94"/>
        <n v="1132.67"/>
        <n v="498.06"/>
        <n v="1157.6"/>
        <n v="1157.52"/>
        <n v="118.36"/>
        <n v="1604.9"/>
        <n v="164.68"/>
        <n v="104.66"/>
        <n v="918.75"/>
        <n v="381.3"/>
        <n v="502.88"/>
        <n v="739.3"/>
        <n v="111.15"/>
        <n v="440.02"/>
        <n v="196.35"/>
        <n v="209.32"/>
        <n v="571.05"/>
        <n v="936.3"/>
        <n v="256.46"/>
        <n v="962.94"/>
        <n v="224.49"/>
        <n v="295.72"/>
        <n v="1721.07"/>
        <n v="919.38"/>
        <n v="342.63"/>
        <n v="315.18"/>
        <n v="1453.32"/>
        <n v="943.29"/>
        <n v="185.25"/>
        <n v="861.48"/>
        <n v="1143.9"/>
        <n v="1932.9"/>
        <n v="144.86"/>
        <n v="1014.02"/>
        <n v="579.44"/>
        <n v="353.44"/>
        <n v="1159.74"/>
        <n v="190.65"/>
        <n v="109.31"/>
        <n v="43.15"/>
        <n v="523.6"/>
        <n v="633.5"/>
        <n v="94.59"/>
        <n v="1320.12"/>
        <n v="532.62"/>
        <n v="832.08"/>
        <n v="645.92"/>
        <n v="1837.5"/>
        <n v="586.72"/>
        <n v="1376.91"/>
        <n v="799.47"/>
        <n v="353.55"/>
        <n v="434.58"/>
        <n v="807.4"/>
        <n v="966.45"/>
        <n v="54.76"/>
        <n v="958.2"/>
        <n v="1025.84"/>
        <n v="1277.6"/>
        <n v="970.86"/>
        <n v="814.5"/>
        <n v="628.6"/>
        <n v="492.84"/>
        <n v="838.48"/>
        <n v="853.65"/>
        <n v="458.15"/>
        <n v="251.44"/>
        <n v="1130.36"/>
        <n v="88.36"/>
        <n v="313.98"/>
        <n v="105.06"/>
        <n v="1645.3"/>
        <n v="52.33"/>
        <n v="265.08"/>
        <n v="1446.9"/>
        <n v="1220.03"/>
        <n v="983.79"/>
        <n v="166.02"/>
        <n v="115.76"/>
        <n v="741.06"/>
        <n v="1338.61"/>
        <n v="420.24"/>
        <n v="1117.9"/>
        <n v="1437.3"/>
        <n v="370.5"/>
        <n v="369.65"/>
        <n v="524.05"/>
        <n v="179.55"/>
        <n v="574.32"/>
        <n v="1525.2"/>
        <n v="82.34"/>
        <n v="367.71"/>
        <n v="1498.08"/>
        <n v="764.92"/>
        <n v="71.82"/>
        <n v="851.31"/>
        <n v="479.1"/>
        <n v="523.3"/>
        <n v="146.68"/>
        <n v="591.8"/>
        <n v="656.7"/>
        <n v="452.46"/>
        <n v="447.25"/>
        <n v="809.05"/>
        <n v="262.65"/>
        <n v="193.29"/>
        <n v="1050.72"/>
        <n v="749.04"/>
        <n v="1291.84"/>
        <n v="323.19"/>
        <n v="1173.44"/>
        <n v="189.18"/>
        <n v="1125.76"/>
        <n v="578.76"/>
        <n v="129.45"/>
        <n v="322.96"/>
        <n v="1302.21"/>
        <n v="397.62"/>
        <n v="157.59"/>
        <n v="377.05"/>
        <n v="83.01"/>
        <n v="773.16"/>
        <n v="293.8"/>
        <n v="143.58"/>
        <n v="125.72"/>
        <n v="1109.44"/>
        <n v="345.2"/>
        <n v="1006.5"/>
        <n v="456.84"/>
        <n v="414.26"/>
        <n v="871.45"/>
        <n v="658.72"/>
        <n v="469.35"/>
        <n v="694.56"/>
        <n v="707.1"/>
        <n v="938.7"/>
        <n v="1334.55"/>
        <n v="341.46"/>
        <n v="141.42"/>
        <n v="1310.82"/>
        <n v="748.3"/>
        <n v="293.36"/>
        <n v="905.0"/>
        <n v="1093.1"/>
        <n v="323.62"/>
        <n v="512.92"/>
        <n v="362.0"/>
        <n v="782.25"/>
        <n v="1568.61"/>
        <n v="717.9"/>
        <n v="641.96"/>
        <n v="65.45"/>
        <n v="844.32"/>
        <n v="970.76"/>
        <n v="305.98"/>
        <n v="1295.91"/>
        <n v="945.9"/>
        <n v="733.67"/>
        <n v="485.43"/>
        <n v="128.23"/>
        <n v="367.5"/>
        <n v="611.65"/>
        <n v="416.04"/>
        <n v="107.73"/>
        <n v="561.78"/>
        <n v="1546.32"/>
        <n v="262.68"/>
        <n v="1685.34"/>
        <n v="1223.3"/>
        <n v="161.81"/>
        <n v="122.33"/>
        <n v="133.47"/>
        <n v="805.2"/>
        <n v="1283.92"/>
        <n v="1027.89"/>
        <n v="215.75"/>
        <n v="697.16"/>
        <n v="301.64"/>
        <n v="131.34"/>
        <n v="73.45"/>
        <n v="156.99"/>
        <n v="329.06"/>
        <n v="282.84"/>
        <n v="1529.9"/>
        <n v="448.98"/>
        <n v="1466.8"/>
        <n v="188.58"/>
        <n v="1313.4"/>
        <n v="152.99"/>
        <n v="810.32"/>
        <n v="146.9"/>
        <n v="662.13"/>
        <n v="130.9"/>
        <n v="149.66"/>
        <n v="685.26"/>
        <n v="978.64"/>
        <n v="228.42"/>
        <n v="258.9"/>
        <n v="1653.75"/>
        <n v="144.69"/>
        <n v="161.48"/>
        <n v="384.69"/>
        <n v="463.04"/>
        <n v="222.3"/>
        <n v="418.64"/>
        <n v="1470.0"/>
        <n v="458.97"/>
        <n v="443.58"/>
        <n v="525.36"/>
        <n v="132.54"/>
        <n v="575.96"/>
        <n v="1536.57"/>
        <n v="170.73"/>
        <n v="109.52"/>
        <n v="419.24"/>
        <n v="756.72"/>
        <n v="377.16"/>
        <n v="1365.84"/>
        <n v="1123.56"/>
        <n v="383.32"/>
        <n v="1151.92"/>
        <n v="1707.3"/>
        <n v="562.88"/>
        <n v="1316.24"/>
        <n v="523.81"/>
        <n v="897.61"/>
        <n v="90.5"/>
        <n v="546.55"/>
        <n v="231.52"/>
        <n v="503.25"/>
        <n v="1148.64"/>
        <n v="359.1"/>
        <n v="236.72"/>
        <n v="578.8"/>
        <n v="565.68"/>
        <n v="388.35"/>
        <n v="493.59"/>
        <n v="665.37"/>
        <n v="261.65"/>
        <n v="1012.83"/>
        <n v="296.4"/>
        <n v="178.9"/>
        <n v="473.44"/>
        <n v="693.4"/>
        <n v="394.02"/>
        <n v="647.24"/>
        <n v="733.4"/>
        <n v="1407.2"/>
        <n v="856.31"/>
        <n v="1158.88"/>
        <n v="579.87"/>
        <n v="1597.0"/>
        <n v="277.36"/>
        <n v="176.72"/>
        <n v="287.98"/>
        <n v="1614.8"/>
        <n v="869.16"/>
        <n v="603.28"/>
        <n v="968.88"/>
        <n v="1435.8"/>
        <n v="59.18"/>
        <n v="402.6"/>
        <n v="374.52"/>
        <n v="422.16"/>
        <n v="554.72"/>
        <n v="431.97"/>
        <n v="565.74"/>
        <n v="174.29"/>
        <n v="191.23"/>
        <n v="1742.9"/>
        <n v="452.5"/>
        <n v="765.17"/>
        <n v="682.92"/>
        <n v="863.94"/>
        <n v="1353.03"/>
        <n v="329.36"/>
        <n v="1286.25"/>
        <n v="703.6"/>
        <n v="484.44"/>
        <n v="769.38"/>
        <n v="514.15"/>
        <n v="348.58"/>
        <n v="1048.1"/>
        <n v="719.95"/>
        <n v="74.83"/>
        <n v="114.21"/>
        <n v="183.75"/>
        <n v="1912.3"/>
        <n v="309.26"/>
        <n v="764.95"/>
        <n v="1095.15"/>
        <n v="289.38"/>
        <n v="150.82"/>
        <n v="314.3"/>
        <n v="44.18"/>
        <n v="581.07"/>
      </sharedItems>
    </cacheField>
    <cacheField name="Region" numFmtId="0">
      <sharedItems>
        <s v="North"/>
        <s v="West"/>
        <s v="South"/>
        <s v="East"/>
      </sharedItems>
    </cacheField>
    <cacheField name="Month" numFmtId="0">
      <sharedItems>
        <s v="Feb"/>
        <s v="May"/>
        <s v="Oct"/>
        <s v="Apr"/>
        <s v="Jun"/>
        <s v="Mar"/>
        <s v="Jul"/>
        <s v="Sep"/>
        <s v="Aug"/>
        <s v="Nov"/>
        <s v="Dec"/>
        <s v="J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les by Region " cacheId="0" dataCaption="" compact="0" compactData="0">
  <location ref="A1:B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Region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0"/>
  </rowFields>
  <dataFields>
    <dataField name="SUM of TotalSale" fld="9" baseField="0"/>
  </dataFields>
</pivotTableDefinition>
</file>

<file path=xl/pivotTables/pivotTable2.xml><?xml version="1.0" encoding="utf-8"?>
<pivotTableDefinition xmlns="http://schemas.openxmlformats.org/spreadsheetml/2006/main" name="Sales  by Month" cacheId="1" dataCaption="" compact="0" compactData="0">
  <location ref="A1:B1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outline="0" multipleItemSelectionAllowed="1" showAll="0" sortType="ascending">
      <items>
        <item x="3"/>
        <item x="8"/>
        <item x="10"/>
        <item x="0"/>
        <item x="11"/>
        <item x="6"/>
        <item x="4"/>
        <item x="5"/>
        <item x="1"/>
        <item x="9"/>
        <item x="2"/>
        <item x="7"/>
        <item t="default"/>
      </items>
    </pivotField>
  </pivotFields>
  <rowFields>
    <field x="11"/>
  </rowFields>
  <dataFields>
    <dataField name="SUM of TotalSale" fld="9" baseField="0"/>
  </dataFields>
</pivotTableDefinition>
</file>

<file path=xl/pivotTables/pivotTable3.xml><?xml version="1.0" encoding="utf-8"?>
<pivotTableDefinition xmlns="http://schemas.openxmlformats.org/spreadsheetml/2006/main" name="Sales by Category" cacheId="1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tegory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SUM of TotalSale" fld="9" baseField="0"/>
  </dataFields>
</pivotTableDefinition>
</file>

<file path=xl/pivotTables/pivotTable4.xml><?xml version="1.0" encoding="utf-8"?>
<pivotTableDefinition xmlns="http://schemas.openxmlformats.org/spreadsheetml/2006/main" name="Top Customers" cacheId="1" dataCaption="" compact="0" compactData="0">
  <location ref="A1:B33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ustom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Sale" fld="9" baseField="0"/>
  </dataFields>
</pivotTableDefinition>
</file>

<file path=xl/pivotTables/pivotTable5.xml><?xml version="1.0" encoding="utf-8"?>
<pivotTableDefinition xmlns="http://schemas.openxmlformats.org/spreadsheetml/2006/main" name="Top Products" cacheId="1" dataCaption="" compact="0" compactData="0">
  <location ref="A1:B2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 Name" axis="axisRow" compact="0" outline="0" multipleItemSelectionAllowed="1" showAll="0" sortType="descending">
      <items>
        <item x="17"/>
        <item x="13"/>
        <item x="2"/>
        <item x="10"/>
        <item x="15"/>
        <item x="19"/>
        <item x="11"/>
        <item x="1"/>
        <item x="14"/>
        <item x="5"/>
        <item x="8"/>
        <item x="6"/>
        <item x="0"/>
        <item x="22"/>
        <item x="7"/>
        <item x="16"/>
        <item x="3"/>
        <item x="9"/>
        <item x="4"/>
        <item x="21"/>
        <item x="20"/>
        <item x="12"/>
        <item x="18"/>
        <item x="23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dataFields>
    <dataField name="SUM of TotalSale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44599.0</v>
      </c>
      <c r="C2" s="2" t="s">
        <v>9</v>
      </c>
      <c r="D2" s="2" t="s">
        <v>10</v>
      </c>
      <c r="E2" s="2">
        <v>10.0</v>
      </c>
      <c r="F2" s="2">
        <v>83.01</v>
      </c>
      <c r="G2" s="2">
        <v>830.1</v>
      </c>
      <c r="H2" s="2" t="s">
        <v>11</v>
      </c>
    </row>
    <row r="3">
      <c r="A3" s="2" t="s">
        <v>12</v>
      </c>
      <c r="B3" s="3">
        <v>45051.0</v>
      </c>
      <c r="C3" s="2" t="s">
        <v>13</v>
      </c>
      <c r="D3" s="2" t="s">
        <v>14</v>
      </c>
      <c r="E3" s="2">
        <v>9.0</v>
      </c>
      <c r="F3" s="2">
        <v>75.41</v>
      </c>
      <c r="G3" s="2">
        <v>678.69</v>
      </c>
      <c r="H3" s="2" t="s">
        <v>11</v>
      </c>
    </row>
    <row r="4">
      <c r="A4" s="2" t="s">
        <v>15</v>
      </c>
      <c r="B4" s="3">
        <v>45788.0</v>
      </c>
      <c r="C4" s="2" t="s">
        <v>16</v>
      </c>
      <c r="D4" s="2" t="s">
        <v>17</v>
      </c>
      <c r="E4" s="2">
        <v>3.0</v>
      </c>
      <c r="F4" s="2">
        <v>115.76</v>
      </c>
      <c r="G4" s="2">
        <v>347.28</v>
      </c>
      <c r="H4" s="2" t="s">
        <v>18</v>
      </c>
    </row>
    <row r="5">
      <c r="A5" s="2" t="s">
        <v>19</v>
      </c>
      <c r="B5" s="3">
        <v>45943.0</v>
      </c>
      <c r="C5" s="2" t="s">
        <v>20</v>
      </c>
      <c r="D5" s="2" t="s">
        <v>21</v>
      </c>
      <c r="E5" s="2">
        <v>6.0</v>
      </c>
      <c r="F5" s="2">
        <v>144.69</v>
      </c>
      <c r="G5" s="2">
        <v>868.14</v>
      </c>
      <c r="H5" s="2" t="s">
        <v>18</v>
      </c>
    </row>
    <row r="6">
      <c r="A6" s="2" t="s">
        <v>22</v>
      </c>
      <c r="B6" s="3">
        <v>45766.0</v>
      </c>
      <c r="C6" s="2" t="s">
        <v>23</v>
      </c>
      <c r="D6" s="2" t="s">
        <v>24</v>
      </c>
      <c r="E6" s="2">
        <v>6.0</v>
      </c>
      <c r="F6" s="2">
        <v>90.5</v>
      </c>
      <c r="G6" s="2">
        <v>543.0</v>
      </c>
      <c r="H6" s="2" t="s">
        <v>25</v>
      </c>
    </row>
    <row r="7">
      <c r="A7" s="2" t="s">
        <v>26</v>
      </c>
      <c r="B7" s="3">
        <v>45103.0</v>
      </c>
      <c r="C7" s="2" t="s">
        <v>27</v>
      </c>
      <c r="D7" s="2" t="s">
        <v>28</v>
      </c>
      <c r="E7" s="2">
        <v>10.0</v>
      </c>
      <c r="F7" s="2">
        <v>187.26</v>
      </c>
      <c r="G7" s="2">
        <v>1872.6</v>
      </c>
      <c r="H7" s="2" t="s">
        <v>25</v>
      </c>
    </row>
    <row r="8">
      <c r="A8" s="2" t="s">
        <v>29</v>
      </c>
      <c r="B8" s="3">
        <v>44649.0</v>
      </c>
      <c r="C8" s="2" t="s">
        <v>30</v>
      </c>
      <c r="D8" s="2" t="s">
        <v>31</v>
      </c>
      <c r="E8" s="2">
        <v>6.0</v>
      </c>
      <c r="F8" s="2">
        <v>100.65</v>
      </c>
      <c r="G8" s="2">
        <v>603.9</v>
      </c>
      <c r="H8" s="2" t="s">
        <v>11</v>
      </c>
    </row>
    <row r="9">
      <c r="A9" s="2" t="s">
        <v>32</v>
      </c>
      <c r="B9" s="3">
        <v>44746.0</v>
      </c>
      <c r="C9" s="2" t="s">
        <v>33</v>
      </c>
      <c r="D9" s="2" t="s">
        <v>34</v>
      </c>
      <c r="E9" s="2">
        <v>10.0</v>
      </c>
      <c r="F9" s="2">
        <v>65.45</v>
      </c>
      <c r="G9" s="2">
        <v>654.5</v>
      </c>
      <c r="H9" s="2" t="s">
        <v>11</v>
      </c>
    </row>
    <row r="10">
      <c r="A10" s="2" t="s">
        <v>35</v>
      </c>
      <c r="B10" s="3">
        <v>45864.0</v>
      </c>
      <c r="C10" s="2" t="s">
        <v>36</v>
      </c>
      <c r="D10" s="2" t="s">
        <v>37</v>
      </c>
      <c r="E10" s="2">
        <v>10.0</v>
      </c>
      <c r="F10" s="2">
        <v>156.45</v>
      </c>
      <c r="G10" s="2">
        <v>1564.5</v>
      </c>
      <c r="H10" s="2" t="s">
        <v>38</v>
      </c>
    </row>
    <row r="11">
      <c r="A11" s="2" t="s">
        <v>39</v>
      </c>
      <c r="B11" s="3">
        <v>44647.0</v>
      </c>
      <c r="C11" s="2" t="s">
        <v>40</v>
      </c>
      <c r="D11" s="2" t="s">
        <v>41</v>
      </c>
      <c r="E11" s="2">
        <v>5.0</v>
      </c>
      <c r="F11" s="2">
        <v>54.76</v>
      </c>
      <c r="G11" s="2">
        <v>273.8</v>
      </c>
      <c r="H11" s="2" t="s">
        <v>18</v>
      </c>
    </row>
    <row r="12">
      <c r="A12" s="2" t="s">
        <v>42</v>
      </c>
      <c r="B12" s="3">
        <v>45032.0</v>
      </c>
      <c r="C12" s="2" t="s">
        <v>43</v>
      </c>
      <c r="D12" s="2" t="s">
        <v>44</v>
      </c>
      <c r="E12" s="2">
        <v>5.0</v>
      </c>
      <c r="F12" s="2">
        <v>160.49</v>
      </c>
      <c r="G12" s="2">
        <v>802.45</v>
      </c>
      <c r="H12" s="2" t="s">
        <v>11</v>
      </c>
    </row>
    <row r="13">
      <c r="A13" s="2" t="s">
        <v>45</v>
      </c>
      <c r="B13" s="3">
        <v>44829.0</v>
      </c>
      <c r="C13" s="2" t="s">
        <v>46</v>
      </c>
      <c r="D13" s="2" t="s">
        <v>47</v>
      </c>
      <c r="E13" s="2">
        <v>1.0</v>
      </c>
      <c r="F13" s="2">
        <v>104.81</v>
      </c>
      <c r="G13" s="2">
        <v>104.81</v>
      </c>
      <c r="H13" s="2" t="s">
        <v>38</v>
      </c>
    </row>
    <row r="14">
      <c r="A14" s="2" t="s">
        <v>48</v>
      </c>
      <c r="B14" s="3">
        <v>46055.0</v>
      </c>
      <c r="C14" s="2" t="s">
        <v>49</v>
      </c>
      <c r="D14" s="2" t="s">
        <v>41</v>
      </c>
      <c r="E14" s="2">
        <v>5.0</v>
      </c>
      <c r="F14" s="2">
        <v>54.76</v>
      </c>
      <c r="G14" s="2">
        <v>273.8</v>
      </c>
      <c r="H14" s="2" t="s">
        <v>38</v>
      </c>
    </row>
    <row r="15">
      <c r="A15" s="2" t="s">
        <v>50</v>
      </c>
      <c r="B15" s="3">
        <v>45883.0</v>
      </c>
      <c r="C15" s="2" t="s">
        <v>51</v>
      </c>
      <c r="D15" s="2" t="s">
        <v>52</v>
      </c>
      <c r="E15" s="2">
        <v>9.0</v>
      </c>
      <c r="F15" s="2">
        <v>133.47</v>
      </c>
      <c r="G15" s="2">
        <v>1201.23</v>
      </c>
      <c r="H15" s="2" t="s">
        <v>25</v>
      </c>
    </row>
    <row r="16">
      <c r="A16" s="2" t="s">
        <v>53</v>
      </c>
      <c r="B16" s="3">
        <v>44960.0</v>
      </c>
      <c r="C16" s="2" t="s">
        <v>54</v>
      </c>
      <c r="D16" s="2" t="s">
        <v>14</v>
      </c>
      <c r="E16" s="2">
        <v>3.0</v>
      </c>
      <c r="F16" s="2">
        <v>75.41</v>
      </c>
      <c r="G16" s="2">
        <v>226.23</v>
      </c>
      <c r="H16" s="2" t="s">
        <v>25</v>
      </c>
    </row>
    <row r="17">
      <c r="A17" s="2" t="s">
        <v>55</v>
      </c>
      <c r="B17" s="3">
        <v>45424.0</v>
      </c>
      <c r="C17" s="2" t="s">
        <v>56</v>
      </c>
      <c r="D17" s="2" t="s">
        <v>52</v>
      </c>
      <c r="E17" s="2">
        <v>2.0</v>
      </c>
      <c r="F17" s="2">
        <v>133.47</v>
      </c>
      <c r="G17" s="2">
        <v>266.94</v>
      </c>
      <c r="H17" s="2" t="s">
        <v>11</v>
      </c>
    </row>
    <row r="18">
      <c r="A18" s="2" t="s">
        <v>57</v>
      </c>
      <c r="B18" s="3">
        <v>45152.0</v>
      </c>
      <c r="C18" s="2" t="s">
        <v>58</v>
      </c>
      <c r="D18" s="2" t="s">
        <v>59</v>
      </c>
      <c r="E18" s="2">
        <v>7.0</v>
      </c>
      <c r="F18" s="2">
        <v>161.81</v>
      </c>
      <c r="G18" s="2">
        <v>1132.67</v>
      </c>
      <c r="H18" s="2" t="s">
        <v>11</v>
      </c>
    </row>
    <row r="19">
      <c r="A19" s="2" t="s">
        <v>60</v>
      </c>
      <c r="B19" s="3">
        <v>46055.0</v>
      </c>
      <c r="C19" s="2" t="s">
        <v>61</v>
      </c>
      <c r="D19" s="2" t="s">
        <v>10</v>
      </c>
      <c r="E19" s="2">
        <v>6.0</v>
      </c>
      <c r="F19" s="2">
        <v>83.01</v>
      </c>
      <c r="G19" s="2">
        <v>498.06</v>
      </c>
      <c r="H19" s="2" t="s">
        <v>18</v>
      </c>
    </row>
    <row r="20">
      <c r="A20" s="2" t="s">
        <v>62</v>
      </c>
      <c r="B20" s="3">
        <v>44711.0</v>
      </c>
      <c r="C20" s="2" t="s">
        <v>63</v>
      </c>
      <c r="D20" s="2" t="s">
        <v>17</v>
      </c>
      <c r="E20" s="2">
        <v>10.0</v>
      </c>
      <c r="F20" s="2">
        <v>115.76</v>
      </c>
      <c r="G20" s="2">
        <v>1157.6</v>
      </c>
      <c r="H20" s="2" t="s">
        <v>11</v>
      </c>
    </row>
    <row r="21">
      <c r="A21" s="2" t="s">
        <v>64</v>
      </c>
      <c r="B21" s="3">
        <v>45419.0</v>
      </c>
      <c r="C21" s="2" t="s">
        <v>65</v>
      </c>
      <c r="D21" s="2" t="s">
        <v>21</v>
      </c>
      <c r="E21" s="2">
        <v>8.0</v>
      </c>
      <c r="F21" s="2">
        <v>144.69</v>
      </c>
      <c r="G21" s="2">
        <v>1157.52</v>
      </c>
      <c r="H21" s="2" t="s">
        <v>38</v>
      </c>
    </row>
    <row r="22">
      <c r="A22" s="2" t="s">
        <v>66</v>
      </c>
      <c r="B22" s="3">
        <v>45054.0</v>
      </c>
      <c r="C22" s="2" t="s">
        <v>67</v>
      </c>
      <c r="D22" s="2" t="s">
        <v>68</v>
      </c>
      <c r="E22" s="2">
        <v>2.0</v>
      </c>
      <c r="F22" s="2">
        <v>59.18</v>
      </c>
      <c r="G22" s="2">
        <v>118.36</v>
      </c>
      <c r="H22" s="2" t="s">
        <v>38</v>
      </c>
    </row>
    <row r="23">
      <c r="A23" s="2" t="s">
        <v>69</v>
      </c>
      <c r="B23" s="3">
        <v>45968.0</v>
      </c>
      <c r="C23" s="2" t="s">
        <v>70</v>
      </c>
      <c r="D23" s="2" t="s">
        <v>44</v>
      </c>
      <c r="E23" s="2">
        <v>10.0</v>
      </c>
      <c r="F23" s="2">
        <v>160.49</v>
      </c>
      <c r="G23" s="2">
        <v>1604.9</v>
      </c>
      <c r="H23" s="2" t="s">
        <v>25</v>
      </c>
    </row>
    <row r="24">
      <c r="A24" s="2" t="s">
        <v>71</v>
      </c>
      <c r="B24" s="3">
        <v>44975.0</v>
      </c>
      <c r="C24" s="2" t="s">
        <v>72</v>
      </c>
      <c r="D24" s="2" t="s">
        <v>73</v>
      </c>
      <c r="E24" s="2">
        <v>2.0</v>
      </c>
      <c r="F24" s="2">
        <v>82.34</v>
      </c>
      <c r="G24" s="2">
        <v>164.68</v>
      </c>
      <c r="H24" s="2" t="s">
        <v>18</v>
      </c>
    </row>
    <row r="25">
      <c r="A25" s="2" t="s">
        <v>74</v>
      </c>
      <c r="B25" s="3">
        <v>45657.0</v>
      </c>
      <c r="C25" s="2" t="s">
        <v>75</v>
      </c>
      <c r="D25" s="2" t="s">
        <v>76</v>
      </c>
      <c r="E25" s="2">
        <v>2.0</v>
      </c>
      <c r="F25" s="2">
        <v>52.33</v>
      </c>
      <c r="G25" s="2">
        <v>104.66</v>
      </c>
      <c r="H25" s="2" t="s">
        <v>25</v>
      </c>
    </row>
    <row r="26">
      <c r="A26" s="2" t="s">
        <v>77</v>
      </c>
      <c r="B26" s="3">
        <v>45975.0</v>
      </c>
      <c r="C26" s="2" t="s">
        <v>78</v>
      </c>
      <c r="D26" s="2" t="s">
        <v>79</v>
      </c>
      <c r="E26" s="2">
        <v>5.0</v>
      </c>
      <c r="F26" s="2">
        <v>183.75</v>
      </c>
      <c r="G26" s="2">
        <v>918.75</v>
      </c>
      <c r="H26" s="2" t="s">
        <v>11</v>
      </c>
    </row>
    <row r="27">
      <c r="A27" s="2" t="s">
        <v>80</v>
      </c>
      <c r="B27" s="3">
        <v>45532.0</v>
      </c>
      <c r="C27" s="2" t="s">
        <v>81</v>
      </c>
      <c r="D27" s="2" t="s">
        <v>82</v>
      </c>
      <c r="E27" s="2">
        <v>2.0</v>
      </c>
      <c r="F27" s="2">
        <v>190.65</v>
      </c>
      <c r="G27" s="2">
        <v>381.3</v>
      </c>
      <c r="H27" s="2" t="s">
        <v>38</v>
      </c>
    </row>
    <row r="28">
      <c r="A28" s="2" t="s">
        <v>83</v>
      </c>
      <c r="B28" s="3">
        <v>44882.0</v>
      </c>
      <c r="C28" s="2" t="s">
        <v>81</v>
      </c>
      <c r="D28" s="2" t="s">
        <v>84</v>
      </c>
      <c r="E28" s="2">
        <v>8.0</v>
      </c>
      <c r="F28" s="2">
        <v>62.86</v>
      </c>
      <c r="G28" s="2">
        <v>502.88</v>
      </c>
      <c r="H28" s="2" t="s">
        <v>25</v>
      </c>
    </row>
    <row r="29">
      <c r="A29" s="2" t="s">
        <v>85</v>
      </c>
      <c r="B29" s="3">
        <v>45935.0</v>
      </c>
      <c r="C29" s="2" t="s">
        <v>86</v>
      </c>
      <c r="D29" s="2" t="s">
        <v>37</v>
      </c>
      <c r="E29" s="2">
        <v>10.0</v>
      </c>
      <c r="F29" s="2">
        <v>156.45</v>
      </c>
      <c r="G29" s="2">
        <v>1564.5</v>
      </c>
      <c r="H29" s="2" t="s">
        <v>11</v>
      </c>
    </row>
    <row r="30">
      <c r="A30" s="2" t="s">
        <v>87</v>
      </c>
      <c r="B30" s="3">
        <v>45040.0</v>
      </c>
      <c r="C30" s="2" t="s">
        <v>88</v>
      </c>
      <c r="D30" s="2" t="s">
        <v>89</v>
      </c>
      <c r="E30" s="2">
        <v>10.0</v>
      </c>
      <c r="F30" s="2">
        <v>73.93</v>
      </c>
      <c r="G30" s="2">
        <v>739.3</v>
      </c>
      <c r="H30" s="2" t="s">
        <v>11</v>
      </c>
    </row>
    <row r="31">
      <c r="A31" s="2" t="s">
        <v>90</v>
      </c>
      <c r="B31" s="3">
        <v>45680.0</v>
      </c>
      <c r="C31" s="2" t="s">
        <v>91</v>
      </c>
      <c r="D31" s="2" t="s">
        <v>92</v>
      </c>
      <c r="E31" s="2">
        <v>3.0</v>
      </c>
      <c r="F31" s="2">
        <v>37.05</v>
      </c>
      <c r="G31" s="2">
        <v>111.15</v>
      </c>
      <c r="H31" s="2" t="s">
        <v>38</v>
      </c>
    </row>
    <row r="32">
      <c r="A32" s="2" t="s">
        <v>93</v>
      </c>
      <c r="B32" s="3">
        <v>45848.0</v>
      </c>
      <c r="C32" s="2" t="s">
        <v>91</v>
      </c>
      <c r="D32" s="2" t="s">
        <v>84</v>
      </c>
      <c r="E32" s="2">
        <v>7.0</v>
      </c>
      <c r="F32" s="2">
        <v>62.86</v>
      </c>
      <c r="G32" s="2">
        <v>440.02</v>
      </c>
      <c r="H32" s="2" t="s">
        <v>38</v>
      </c>
    </row>
    <row r="33">
      <c r="A33" s="2" t="s">
        <v>94</v>
      </c>
      <c r="B33" s="3">
        <v>44919.0</v>
      </c>
      <c r="C33" s="2" t="s">
        <v>95</v>
      </c>
      <c r="D33" s="2" t="s">
        <v>34</v>
      </c>
      <c r="E33" s="2">
        <v>3.0</v>
      </c>
      <c r="F33" s="2">
        <v>65.45</v>
      </c>
      <c r="G33" s="2">
        <v>196.35</v>
      </c>
      <c r="H33" s="2" t="s">
        <v>11</v>
      </c>
    </row>
    <row r="34">
      <c r="A34" s="2" t="s">
        <v>96</v>
      </c>
      <c r="B34" s="3">
        <v>45891.0</v>
      </c>
      <c r="C34" s="2" t="s">
        <v>97</v>
      </c>
      <c r="D34" s="2" t="s">
        <v>76</v>
      </c>
      <c r="E34" s="2">
        <v>4.0</v>
      </c>
      <c r="F34" s="2">
        <v>52.33</v>
      </c>
      <c r="G34" s="2">
        <v>209.32</v>
      </c>
      <c r="H34" s="2" t="s">
        <v>25</v>
      </c>
    </row>
    <row r="35">
      <c r="A35" s="2" t="s">
        <v>98</v>
      </c>
      <c r="B35" s="3">
        <v>45017.0</v>
      </c>
      <c r="C35" s="2" t="s">
        <v>99</v>
      </c>
      <c r="D35" s="2" t="s">
        <v>100</v>
      </c>
      <c r="E35" s="2">
        <v>5.0</v>
      </c>
      <c r="F35" s="2">
        <v>114.21</v>
      </c>
      <c r="G35" s="2">
        <v>571.05</v>
      </c>
      <c r="H35" s="2" t="s">
        <v>18</v>
      </c>
    </row>
    <row r="36">
      <c r="A36" s="2" t="s">
        <v>101</v>
      </c>
      <c r="B36" s="3">
        <v>45768.0</v>
      </c>
      <c r="C36" s="2" t="s">
        <v>102</v>
      </c>
      <c r="D36" s="2" t="s">
        <v>28</v>
      </c>
      <c r="E36" s="2">
        <v>5.0</v>
      </c>
      <c r="F36" s="2">
        <v>187.26</v>
      </c>
      <c r="G36" s="2">
        <v>936.3</v>
      </c>
      <c r="H36" s="2" t="s">
        <v>25</v>
      </c>
    </row>
    <row r="37">
      <c r="A37" s="2" t="s">
        <v>103</v>
      </c>
      <c r="B37" s="3">
        <v>44867.0</v>
      </c>
      <c r="C37" s="2" t="s">
        <v>104</v>
      </c>
      <c r="D37" s="2" t="s">
        <v>105</v>
      </c>
      <c r="E37" s="2">
        <v>2.0</v>
      </c>
      <c r="F37" s="2">
        <v>128.23</v>
      </c>
      <c r="G37" s="2">
        <v>256.46</v>
      </c>
      <c r="H37" s="2" t="s">
        <v>18</v>
      </c>
    </row>
    <row r="38">
      <c r="A38" s="2" t="s">
        <v>106</v>
      </c>
      <c r="B38" s="3">
        <v>44983.0</v>
      </c>
      <c r="C38" s="2" t="s">
        <v>107</v>
      </c>
      <c r="D38" s="2" t="s">
        <v>44</v>
      </c>
      <c r="E38" s="2">
        <v>6.0</v>
      </c>
      <c r="F38" s="2">
        <v>160.49</v>
      </c>
      <c r="G38" s="2">
        <v>962.94</v>
      </c>
      <c r="H38" s="2" t="s">
        <v>25</v>
      </c>
    </row>
    <row r="39">
      <c r="A39" s="2" t="s">
        <v>108</v>
      </c>
      <c r="B39" s="3">
        <v>45676.0</v>
      </c>
      <c r="C39" s="2" t="s">
        <v>109</v>
      </c>
      <c r="D39" s="2" t="s">
        <v>110</v>
      </c>
      <c r="E39" s="2">
        <v>3.0</v>
      </c>
      <c r="F39" s="2">
        <v>74.83</v>
      </c>
      <c r="G39" s="2">
        <v>224.49</v>
      </c>
      <c r="H39" s="2" t="s">
        <v>38</v>
      </c>
    </row>
    <row r="40">
      <c r="A40" s="2" t="s">
        <v>111</v>
      </c>
      <c r="B40" s="3">
        <v>45092.0</v>
      </c>
      <c r="C40" s="2" t="s">
        <v>112</v>
      </c>
      <c r="D40" s="2" t="s">
        <v>89</v>
      </c>
      <c r="E40" s="2">
        <v>4.0</v>
      </c>
      <c r="F40" s="2">
        <v>73.93</v>
      </c>
      <c r="G40" s="2">
        <v>295.72</v>
      </c>
      <c r="H40" s="2" t="s">
        <v>11</v>
      </c>
    </row>
    <row r="41">
      <c r="A41" s="2" t="s">
        <v>113</v>
      </c>
      <c r="B41" s="3">
        <v>44591.0</v>
      </c>
      <c r="C41" s="2" t="s">
        <v>114</v>
      </c>
      <c r="D41" s="2" t="s">
        <v>115</v>
      </c>
      <c r="E41" s="2">
        <v>9.0</v>
      </c>
      <c r="F41" s="2">
        <v>191.23</v>
      </c>
      <c r="G41" s="2">
        <v>1721.07</v>
      </c>
      <c r="H41" s="2" t="s">
        <v>38</v>
      </c>
    </row>
    <row r="42">
      <c r="A42" s="2" t="s">
        <v>116</v>
      </c>
      <c r="B42" s="3">
        <v>46000.0</v>
      </c>
      <c r="C42" s="2" t="s">
        <v>117</v>
      </c>
      <c r="D42" s="2" t="s">
        <v>118</v>
      </c>
      <c r="E42" s="2">
        <v>7.0</v>
      </c>
      <c r="F42" s="2">
        <v>131.34</v>
      </c>
      <c r="G42" s="2">
        <v>919.38</v>
      </c>
      <c r="H42" s="2" t="s">
        <v>18</v>
      </c>
    </row>
    <row r="43">
      <c r="A43" s="2" t="s">
        <v>119</v>
      </c>
      <c r="B43" s="3">
        <v>45434.0</v>
      </c>
      <c r="C43" s="2" t="s">
        <v>120</v>
      </c>
      <c r="D43" s="2" t="s">
        <v>100</v>
      </c>
      <c r="E43" s="2">
        <v>3.0</v>
      </c>
      <c r="F43" s="2">
        <v>114.21</v>
      </c>
      <c r="G43" s="2">
        <v>342.63</v>
      </c>
      <c r="H43" s="2" t="s">
        <v>38</v>
      </c>
    </row>
    <row r="44">
      <c r="A44" s="2" t="s">
        <v>121</v>
      </c>
      <c r="B44" s="3">
        <v>45563.0</v>
      </c>
      <c r="C44" s="2" t="s">
        <v>122</v>
      </c>
      <c r="D44" s="2" t="s">
        <v>123</v>
      </c>
      <c r="E44" s="2">
        <v>6.0</v>
      </c>
      <c r="F44" s="2">
        <v>52.53</v>
      </c>
      <c r="G44" s="2">
        <v>315.18</v>
      </c>
      <c r="H44" s="2" t="s">
        <v>11</v>
      </c>
    </row>
    <row r="45">
      <c r="A45" s="2" t="s">
        <v>124</v>
      </c>
      <c r="B45" s="3">
        <v>45710.0</v>
      </c>
      <c r="C45" s="2" t="s">
        <v>125</v>
      </c>
      <c r="D45" s="2" t="s">
        <v>126</v>
      </c>
      <c r="E45" s="2">
        <v>9.0</v>
      </c>
      <c r="F45" s="2">
        <v>161.48</v>
      </c>
      <c r="G45" s="2">
        <v>1453.32</v>
      </c>
      <c r="H45" s="2" t="s">
        <v>11</v>
      </c>
    </row>
    <row r="46">
      <c r="A46" s="2" t="s">
        <v>127</v>
      </c>
      <c r="B46" s="3">
        <v>45004.0</v>
      </c>
      <c r="C46" s="2" t="s">
        <v>128</v>
      </c>
      <c r="D46" s="2" t="s">
        <v>47</v>
      </c>
      <c r="E46" s="2">
        <v>9.0</v>
      </c>
      <c r="F46" s="2">
        <v>104.81</v>
      </c>
      <c r="G46" s="2">
        <v>943.29</v>
      </c>
      <c r="H46" s="2" t="s">
        <v>11</v>
      </c>
    </row>
    <row r="47">
      <c r="A47" s="2" t="s">
        <v>129</v>
      </c>
      <c r="B47" s="3">
        <v>44567.0</v>
      </c>
      <c r="C47" s="2" t="s">
        <v>130</v>
      </c>
      <c r="D47" s="2" t="s">
        <v>92</v>
      </c>
      <c r="E47" s="2">
        <v>5.0</v>
      </c>
      <c r="F47" s="2">
        <v>37.05</v>
      </c>
      <c r="G47" s="2">
        <v>185.25</v>
      </c>
      <c r="H47" s="2" t="s">
        <v>11</v>
      </c>
    </row>
    <row r="48">
      <c r="A48" s="2" t="s">
        <v>131</v>
      </c>
      <c r="B48" s="3">
        <v>44670.0</v>
      </c>
      <c r="C48" s="2" t="s">
        <v>132</v>
      </c>
      <c r="D48" s="2" t="s">
        <v>133</v>
      </c>
      <c r="E48" s="2">
        <v>6.0</v>
      </c>
      <c r="F48" s="2">
        <v>143.58</v>
      </c>
      <c r="G48" s="2">
        <v>861.48</v>
      </c>
      <c r="H48" s="2" t="s">
        <v>18</v>
      </c>
    </row>
    <row r="49">
      <c r="A49" s="2" t="s">
        <v>134</v>
      </c>
      <c r="B49" s="3">
        <v>45346.0</v>
      </c>
      <c r="C49" s="2" t="s">
        <v>135</v>
      </c>
      <c r="D49" s="2" t="s">
        <v>82</v>
      </c>
      <c r="E49" s="2">
        <v>6.0</v>
      </c>
      <c r="F49" s="2">
        <v>190.65</v>
      </c>
      <c r="G49" s="2">
        <v>1143.9</v>
      </c>
      <c r="H49" s="2" t="s">
        <v>38</v>
      </c>
    </row>
    <row r="50">
      <c r="A50" s="2" t="s">
        <v>136</v>
      </c>
      <c r="B50" s="3">
        <v>44940.0</v>
      </c>
      <c r="C50" s="2" t="s">
        <v>137</v>
      </c>
      <c r="D50" s="2" t="s">
        <v>138</v>
      </c>
      <c r="E50" s="2">
        <v>10.0</v>
      </c>
      <c r="F50" s="2">
        <v>193.29</v>
      </c>
      <c r="G50" s="2">
        <v>1932.9</v>
      </c>
      <c r="H50" s="2" t="s">
        <v>25</v>
      </c>
    </row>
    <row r="51">
      <c r="A51" s="2" t="s">
        <v>139</v>
      </c>
      <c r="B51" s="3">
        <v>45018.0</v>
      </c>
      <c r="C51" s="2" t="s">
        <v>140</v>
      </c>
      <c r="D51" s="2" t="s">
        <v>141</v>
      </c>
      <c r="E51" s="2">
        <v>1.0</v>
      </c>
      <c r="F51" s="2">
        <v>144.86</v>
      </c>
      <c r="G51" s="2">
        <v>144.86</v>
      </c>
      <c r="H51" s="2" t="s">
        <v>18</v>
      </c>
    </row>
    <row r="52">
      <c r="A52" s="2" t="s">
        <v>142</v>
      </c>
      <c r="B52" s="3">
        <v>45222.0</v>
      </c>
      <c r="C52" s="2" t="s">
        <v>143</v>
      </c>
      <c r="D52" s="2" t="s">
        <v>141</v>
      </c>
      <c r="E52" s="2">
        <v>7.0</v>
      </c>
      <c r="F52" s="2">
        <v>144.86</v>
      </c>
      <c r="G52" s="2">
        <v>1014.02</v>
      </c>
      <c r="H52" s="2" t="s">
        <v>11</v>
      </c>
    </row>
    <row r="53">
      <c r="A53" s="2" t="s">
        <v>144</v>
      </c>
      <c r="B53" s="3">
        <v>45811.0</v>
      </c>
      <c r="C53" s="2" t="s">
        <v>145</v>
      </c>
      <c r="D53" s="2" t="s">
        <v>141</v>
      </c>
      <c r="E53" s="2">
        <v>4.0</v>
      </c>
      <c r="F53" s="2">
        <v>144.86</v>
      </c>
      <c r="G53" s="2">
        <v>579.44</v>
      </c>
      <c r="H53" s="2" t="s">
        <v>38</v>
      </c>
    </row>
    <row r="54">
      <c r="A54" s="2" t="s">
        <v>146</v>
      </c>
      <c r="B54" s="3">
        <v>45531.0</v>
      </c>
      <c r="C54" s="2" t="s">
        <v>147</v>
      </c>
      <c r="D54" s="2" t="s">
        <v>148</v>
      </c>
      <c r="E54" s="2">
        <v>8.0</v>
      </c>
      <c r="F54" s="2">
        <v>44.18</v>
      </c>
      <c r="G54" s="2">
        <v>353.44</v>
      </c>
      <c r="H54" s="2" t="s">
        <v>25</v>
      </c>
    </row>
    <row r="55">
      <c r="A55" s="2" t="s">
        <v>149</v>
      </c>
      <c r="B55" s="3">
        <v>45879.0</v>
      </c>
      <c r="C55" s="2" t="s">
        <v>150</v>
      </c>
      <c r="D55" s="2" t="s">
        <v>138</v>
      </c>
      <c r="E55" s="2">
        <v>6.0</v>
      </c>
      <c r="F55" s="2">
        <v>193.29</v>
      </c>
      <c r="G55" s="2">
        <v>1159.74</v>
      </c>
      <c r="H55" s="2" t="s">
        <v>18</v>
      </c>
    </row>
    <row r="56">
      <c r="A56" s="2" t="s">
        <v>151</v>
      </c>
      <c r="B56" s="3">
        <v>44583.0</v>
      </c>
      <c r="C56" s="2" t="s">
        <v>152</v>
      </c>
      <c r="D56" s="2" t="s">
        <v>82</v>
      </c>
      <c r="E56" s="2">
        <v>1.0</v>
      </c>
      <c r="F56" s="2">
        <v>190.65</v>
      </c>
      <c r="G56" s="2">
        <v>190.65</v>
      </c>
      <c r="H56" s="2" t="s">
        <v>18</v>
      </c>
    </row>
    <row r="57">
      <c r="A57" s="2" t="s">
        <v>153</v>
      </c>
      <c r="B57" s="3">
        <v>45569.0</v>
      </c>
      <c r="C57" s="2" t="s">
        <v>154</v>
      </c>
      <c r="D57" s="2" t="s">
        <v>155</v>
      </c>
      <c r="E57" s="2">
        <v>1.0</v>
      </c>
      <c r="F57" s="2">
        <v>109.31</v>
      </c>
      <c r="G57" s="2">
        <v>109.31</v>
      </c>
      <c r="H57" s="2" t="s">
        <v>38</v>
      </c>
    </row>
    <row r="58">
      <c r="A58" s="2" t="s">
        <v>156</v>
      </c>
      <c r="B58" s="3">
        <v>44828.0</v>
      </c>
      <c r="C58" s="2" t="s">
        <v>157</v>
      </c>
      <c r="D58" s="2" t="s">
        <v>10</v>
      </c>
      <c r="E58" s="2">
        <v>10.0</v>
      </c>
      <c r="F58" s="2">
        <v>83.01</v>
      </c>
      <c r="G58" s="2">
        <v>830.1</v>
      </c>
      <c r="H58" s="2" t="s">
        <v>18</v>
      </c>
    </row>
    <row r="59">
      <c r="A59" s="2" t="s">
        <v>158</v>
      </c>
      <c r="B59" s="3">
        <v>45173.0</v>
      </c>
      <c r="C59" s="2" t="s">
        <v>159</v>
      </c>
      <c r="D59" s="2" t="s">
        <v>160</v>
      </c>
      <c r="E59" s="2">
        <v>1.0</v>
      </c>
      <c r="F59" s="2">
        <v>43.15</v>
      </c>
      <c r="G59" s="2">
        <v>43.15</v>
      </c>
      <c r="H59" s="2" t="s">
        <v>25</v>
      </c>
    </row>
    <row r="60">
      <c r="A60" s="2" t="s">
        <v>161</v>
      </c>
      <c r="B60" s="3">
        <v>45957.0</v>
      </c>
      <c r="C60" s="2" t="s">
        <v>162</v>
      </c>
      <c r="D60" s="2" t="s">
        <v>34</v>
      </c>
      <c r="E60" s="2">
        <v>8.0</v>
      </c>
      <c r="F60" s="2">
        <v>65.45</v>
      </c>
      <c r="G60" s="2">
        <v>523.6</v>
      </c>
      <c r="H60" s="2" t="s">
        <v>38</v>
      </c>
    </row>
    <row r="61">
      <c r="A61" s="2" t="s">
        <v>163</v>
      </c>
      <c r="B61" s="3">
        <v>45841.0</v>
      </c>
      <c r="C61" s="2" t="s">
        <v>164</v>
      </c>
      <c r="D61" s="2" t="s">
        <v>24</v>
      </c>
      <c r="E61" s="2">
        <v>7.0</v>
      </c>
      <c r="F61" s="2">
        <v>90.5</v>
      </c>
      <c r="G61" s="2">
        <v>633.5</v>
      </c>
      <c r="H61" s="2" t="s">
        <v>11</v>
      </c>
    </row>
    <row r="62">
      <c r="A62" s="2" t="s">
        <v>165</v>
      </c>
      <c r="B62" s="3">
        <v>45332.0</v>
      </c>
      <c r="C62" s="2" t="s">
        <v>166</v>
      </c>
      <c r="D62" s="2" t="s">
        <v>167</v>
      </c>
      <c r="E62" s="2">
        <v>1.0</v>
      </c>
      <c r="F62" s="2">
        <v>94.59</v>
      </c>
      <c r="G62" s="2">
        <v>94.59</v>
      </c>
      <c r="H62" s="2" t="s">
        <v>18</v>
      </c>
    </row>
    <row r="63">
      <c r="A63" s="2" t="s">
        <v>168</v>
      </c>
      <c r="B63" s="3">
        <v>45307.0</v>
      </c>
      <c r="C63" s="2" t="s">
        <v>169</v>
      </c>
      <c r="D63" s="2" t="s">
        <v>170</v>
      </c>
      <c r="E63" s="2">
        <v>9.0</v>
      </c>
      <c r="F63" s="2">
        <v>146.68</v>
      </c>
      <c r="G63" s="2">
        <v>1320.12</v>
      </c>
      <c r="H63" s="2" t="s">
        <v>38</v>
      </c>
    </row>
    <row r="64">
      <c r="A64" s="2" t="s">
        <v>171</v>
      </c>
      <c r="B64" s="3">
        <v>45864.0</v>
      </c>
      <c r="C64" s="2" t="s">
        <v>172</v>
      </c>
      <c r="D64" s="2" t="s">
        <v>68</v>
      </c>
      <c r="E64" s="2">
        <v>9.0</v>
      </c>
      <c r="F64" s="2">
        <v>59.18</v>
      </c>
      <c r="G64" s="2">
        <v>532.62</v>
      </c>
      <c r="H64" s="2" t="s">
        <v>11</v>
      </c>
    </row>
    <row r="65">
      <c r="A65" s="2" t="s">
        <v>173</v>
      </c>
      <c r="B65" s="3">
        <v>46036.0</v>
      </c>
      <c r="C65" s="2" t="s">
        <v>174</v>
      </c>
      <c r="D65" s="2" t="s">
        <v>175</v>
      </c>
      <c r="E65" s="2">
        <v>6.0</v>
      </c>
      <c r="F65" s="2">
        <v>138.68</v>
      </c>
      <c r="G65" s="2">
        <v>832.08</v>
      </c>
      <c r="H65" s="2" t="s">
        <v>18</v>
      </c>
    </row>
    <row r="66">
      <c r="A66" s="2" t="s">
        <v>176</v>
      </c>
      <c r="B66" s="3">
        <v>45284.0</v>
      </c>
      <c r="C66" s="2" t="s">
        <v>177</v>
      </c>
      <c r="D66" s="2" t="s">
        <v>126</v>
      </c>
      <c r="E66" s="2">
        <v>4.0</v>
      </c>
      <c r="F66" s="2">
        <v>161.48</v>
      </c>
      <c r="G66" s="2">
        <v>645.92</v>
      </c>
      <c r="H66" s="2" t="s">
        <v>18</v>
      </c>
    </row>
    <row r="67">
      <c r="A67" s="2" t="s">
        <v>178</v>
      </c>
      <c r="B67" s="3">
        <v>45310.0</v>
      </c>
      <c r="C67" s="2" t="s">
        <v>179</v>
      </c>
      <c r="D67" s="2" t="s">
        <v>79</v>
      </c>
      <c r="E67" s="2">
        <v>10.0</v>
      </c>
      <c r="F67" s="2">
        <v>183.75</v>
      </c>
      <c r="G67" s="2">
        <v>1837.5</v>
      </c>
      <c r="H67" s="2" t="s">
        <v>11</v>
      </c>
    </row>
    <row r="68">
      <c r="A68" s="2" t="s">
        <v>180</v>
      </c>
      <c r="B68" s="3">
        <v>44902.0</v>
      </c>
      <c r="C68" s="2" t="s">
        <v>181</v>
      </c>
      <c r="D68" s="2" t="s">
        <v>170</v>
      </c>
      <c r="E68" s="2">
        <v>4.0</v>
      </c>
      <c r="F68" s="2">
        <v>146.68</v>
      </c>
      <c r="G68" s="2">
        <v>586.72</v>
      </c>
      <c r="H68" s="2" t="s">
        <v>11</v>
      </c>
    </row>
    <row r="69">
      <c r="A69" s="2" t="s">
        <v>182</v>
      </c>
      <c r="B69" s="3">
        <v>45981.0</v>
      </c>
      <c r="C69" s="2" t="s">
        <v>183</v>
      </c>
      <c r="D69" s="2" t="s">
        <v>184</v>
      </c>
      <c r="E69" s="2">
        <v>9.0</v>
      </c>
      <c r="F69" s="2">
        <v>152.99</v>
      </c>
      <c r="G69" s="2">
        <v>1376.91</v>
      </c>
      <c r="H69" s="2" t="s">
        <v>11</v>
      </c>
    </row>
    <row r="70">
      <c r="A70" s="2" t="s">
        <v>185</v>
      </c>
      <c r="B70" s="3">
        <v>45374.0</v>
      </c>
      <c r="C70" s="2" t="s">
        <v>186</v>
      </c>
      <c r="D70" s="2" t="s">
        <v>100</v>
      </c>
      <c r="E70" s="2">
        <v>7.0</v>
      </c>
      <c r="F70" s="2">
        <v>114.21</v>
      </c>
      <c r="G70" s="2">
        <v>799.47</v>
      </c>
      <c r="H70" s="2" t="s">
        <v>38</v>
      </c>
    </row>
    <row r="71">
      <c r="A71" s="2" t="s">
        <v>187</v>
      </c>
      <c r="B71" s="3">
        <v>45561.0</v>
      </c>
      <c r="C71" s="2" t="s">
        <v>188</v>
      </c>
      <c r="D71" s="2" t="s">
        <v>31</v>
      </c>
      <c r="E71" s="2">
        <v>6.0</v>
      </c>
      <c r="F71" s="2">
        <v>100.65</v>
      </c>
      <c r="G71" s="2">
        <v>603.9</v>
      </c>
      <c r="H71" s="2" t="s">
        <v>11</v>
      </c>
    </row>
    <row r="72">
      <c r="A72" s="2" t="s">
        <v>189</v>
      </c>
      <c r="B72" s="3">
        <v>44880.0</v>
      </c>
      <c r="C72" s="2" t="s">
        <v>190</v>
      </c>
      <c r="D72" s="2" t="s">
        <v>191</v>
      </c>
      <c r="E72" s="2">
        <v>5.0</v>
      </c>
      <c r="F72" s="2">
        <v>70.71</v>
      </c>
      <c r="G72" s="2">
        <v>353.55</v>
      </c>
      <c r="H72" s="2" t="s">
        <v>25</v>
      </c>
    </row>
    <row r="73">
      <c r="A73" s="2" t="s">
        <v>192</v>
      </c>
      <c r="B73" s="3">
        <v>45979.0</v>
      </c>
      <c r="C73" s="2" t="s">
        <v>40</v>
      </c>
      <c r="D73" s="2" t="s">
        <v>155</v>
      </c>
      <c r="E73" s="2">
        <v>1.0</v>
      </c>
      <c r="F73" s="2">
        <v>109.31</v>
      </c>
      <c r="G73" s="2">
        <v>109.31</v>
      </c>
      <c r="H73" s="2" t="s">
        <v>18</v>
      </c>
    </row>
    <row r="74">
      <c r="A74" s="2" t="s">
        <v>193</v>
      </c>
      <c r="B74" s="3">
        <v>45101.0</v>
      </c>
      <c r="C74" s="2" t="s">
        <v>194</v>
      </c>
      <c r="D74" s="2" t="s">
        <v>141</v>
      </c>
      <c r="E74" s="2">
        <v>3.0</v>
      </c>
      <c r="F74" s="2">
        <v>144.86</v>
      </c>
      <c r="G74" s="2">
        <v>434.58</v>
      </c>
      <c r="H74" s="2" t="s">
        <v>38</v>
      </c>
    </row>
    <row r="75">
      <c r="A75" s="2" t="s">
        <v>195</v>
      </c>
      <c r="B75" s="3">
        <v>45880.0</v>
      </c>
      <c r="C75" s="2" t="s">
        <v>196</v>
      </c>
      <c r="D75" s="2" t="s">
        <v>126</v>
      </c>
      <c r="E75" s="2">
        <v>5.0</v>
      </c>
      <c r="F75" s="2">
        <v>161.48</v>
      </c>
      <c r="G75" s="2">
        <v>807.4</v>
      </c>
      <c r="H75" s="2" t="s">
        <v>11</v>
      </c>
    </row>
    <row r="76">
      <c r="A76" s="2" t="s">
        <v>197</v>
      </c>
      <c r="B76" s="3">
        <v>45076.0</v>
      </c>
      <c r="C76" s="2" t="s">
        <v>46</v>
      </c>
      <c r="D76" s="2" t="s">
        <v>138</v>
      </c>
      <c r="E76" s="2">
        <v>5.0</v>
      </c>
      <c r="F76" s="2">
        <v>193.29</v>
      </c>
      <c r="G76" s="2">
        <v>966.45</v>
      </c>
      <c r="H76" s="2" t="s">
        <v>25</v>
      </c>
    </row>
    <row r="77">
      <c r="A77" s="2" t="s">
        <v>198</v>
      </c>
      <c r="B77" s="3">
        <v>45181.0</v>
      </c>
      <c r="C77" s="2" t="s">
        <v>199</v>
      </c>
      <c r="D77" s="2" t="s">
        <v>41</v>
      </c>
      <c r="E77" s="2">
        <v>1.0</v>
      </c>
      <c r="F77" s="2">
        <v>54.76</v>
      </c>
      <c r="G77" s="2">
        <v>54.76</v>
      </c>
      <c r="H77" s="2" t="s">
        <v>25</v>
      </c>
    </row>
    <row r="78">
      <c r="A78" s="2" t="s">
        <v>200</v>
      </c>
      <c r="B78" s="3">
        <v>44758.0</v>
      </c>
      <c r="C78" s="2" t="s">
        <v>201</v>
      </c>
      <c r="D78" s="2" t="s">
        <v>202</v>
      </c>
      <c r="E78" s="2">
        <v>6.0</v>
      </c>
      <c r="F78" s="2">
        <v>159.7</v>
      </c>
      <c r="G78" s="2">
        <v>958.2</v>
      </c>
      <c r="H78" s="2" t="s">
        <v>25</v>
      </c>
    </row>
    <row r="79">
      <c r="A79" s="2" t="s">
        <v>203</v>
      </c>
      <c r="B79" s="3">
        <v>44731.0</v>
      </c>
      <c r="C79" s="2" t="s">
        <v>204</v>
      </c>
      <c r="D79" s="2" t="s">
        <v>115</v>
      </c>
      <c r="E79" s="2">
        <v>9.0</v>
      </c>
      <c r="F79" s="2">
        <v>191.23</v>
      </c>
      <c r="G79" s="2">
        <v>1721.07</v>
      </c>
      <c r="H79" s="2" t="s">
        <v>11</v>
      </c>
    </row>
    <row r="80">
      <c r="A80" s="2" t="s">
        <v>205</v>
      </c>
      <c r="B80" s="3">
        <v>45027.0</v>
      </c>
      <c r="C80" s="2" t="s">
        <v>206</v>
      </c>
      <c r="D80" s="2" t="s">
        <v>148</v>
      </c>
      <c r="E80" s="2">
        <v>8.0</v>
      </c>
      <c r="F80" s="2">
        <v>44.18</v>
      </c>
      <c r="G80" s="2">
        <v>353.44</v>
      </c>
      <c r="H80" s="2" t="s">
        <v>38</v>
      </c>
    </row>
    <row r="81">
      <c r="A81" s="2" t="s">
        <v>207</v>
      </c>
      <c r="B81" s="3">
        <v>45786.0</v>
      </c>
      <c r="C81" s="2" t="s">
        <v>208</v>
      </c>
      <c r="D81" s="2" t="s">
        <v>105</v>
      </c>
      <c r="E81" s="2">
        <v>8.0</v>
      </c>
      <c r="F81" s="2">
        <v>128.23</v>
      </c>
      <c r="G81" s="2">
        <v>1025.84</v>
      </c>
      <c r="H81" s="2" t="s">
        <v>18</v>
      </c>
    </row>
    <row r="82">
      <c r="A82" s="2" t="s">
        <v>209</v>
      </c>
      <c r="B82" s="3">
        <v>45184.0</v>
      </c>
      <c r="C82" s="2" t="s">
        <v>210</v>
      </c>
      <c r="D82" s="2" t="s">
        <v>202</v>
      </c>
      <c r="E82" s="2">
        <v>8.0</v>
      </c>
      <c r="F82" s="2">
        <v>159.7</v>
      </c>
      <c r="G82" s="2">
        <v>1277.6</v>
      </c>
      <c r="H82" s="2" t="s">
        <v>11</v>
      </c>
    </row>
    <row r="83">
      <c r="A83" s="2" t="s">
        <v>211</v>
      </c>
      <c r="B83" s="3">
        <v>45751.0</v>
      </c>
      <c r="C83" s="2" t="s">
        <v>212</v>
      </c>
      <c r="D83" s="2" t="s">
        <v>59</v>
      </c>
      <c r="E83" s="2">
        <v>6.0</v>
      </c>
      <c r="F83" s="2">
        <v>161.81</v>
      </c>
      <c r="G83" s="2">
        <v>970.86</v>
      </c>
      <c r="H83" s="2" t="s">
        <v>38</v>
      </c>
    </row>
    <row r="84">
      <c r="A84" s="2" t="s">
        <v>213</v>
      </c>
      <c r="B84" s="3">
        <v>44749.0</v>
      </c>
      <c r="C84" s="2" t="s">
        <v>214</v>
      </c>
      <c r="D84" s="2" t="s">
        <v>24</v>
      </c>
      <c r="E84" s="2">
        <v>9.0</v>
      </c>
      <c r="F84" s="2">
        <v>90.5</v>
      </c>
      <c r="G84" s="2">
        <v>814.5</v>
      </c>
      <c r="H84" s="2" t="s">
        <v>25</v>
      </c>
    </row>
    <row r="85">
      <c r="A85" s="2" t="s">
        <v>215</v>
      </c>
      <c r="B85" s="3">
        <v>45978.0</v>
      </c>
      <c r="C85" s="2" t="s">
        <v>216</v>
      </c>
      <c r="D85" s="2" t="s">
        <v>84</v>
      </c>
      <c r="E85" s="2">
        <v>10.0</v>
      </c>
      <c r="F85" s="2">
        <v>62.86</v>
      </c>
      <c r="G85" s="2">
        <v>628.6</v>
      </c>
      <c r="H85" s="2" t="s">
        <v>38</v>
      </c>
    </row>
    <row r="86">
      <c r="A86" s="2" t="s">
        <v>217</v>
      </c>
      <c r="B86" s="3">
        <v>44846.0</v>
      </c>
      <c r="C86" s="2" t="s">
        <v>218</v>
      </c>
      <c r="D86" s="2" t="s">
        <v>41</v>
      </c>
      <c r="E86" s="2">
        <v>9.0</v>
      </c>
      <c r="F86" s="2">
        <v>54.76</v>
      </c>
      <c r="G86" s="2">
        <v>492.84</v>
      </c>
      <c r="H86" s="2" t="s">
        <v>11</v>
      </c>
    </row>
    <row r="87">
      <c r="A87" s="2" t="s">
        <v>219</v>
      </c>
      <c r="B87" s="3">
        <v>45872.0</v>
      </c>
      <c r="C87" s="2" t="s">
        <v>220</v>
      </c>
      <c r="D87" s="2" t="s">
        <v>47</v>
      </c>
      <c r="E87" s="2">
        <v>8.0</v>
      </c>
      <c r="F87" s="2">
        <v>104.81</v>
      </c>
      <c r="G87" s="2">
        <v>838.48</v>
      </c>
      <c r="H87" s="2" t="s">
        <v>18</v>
      </c>
    </row>
    <row r="88">
      <c r="A88" s="2" t="s">
        <v>221</v>
      </c>
      <c r="B88" s="3">
        <v>45883.0</v>
      </c>
      <c r="C88" s="2" t="s">
        <v>222</v>
      </c>
      <c r="D88" s="2" t="s">
        <v>223</v>
      </c>
      <c r="E88" s="2">
        <v>5.0</v>
      </c>
      <c r="F88" s="2">
        <v>170.73</v>
      </c>
      <c r="G88" s="2">
        <v>853.65</v>
      </c>
      <c r="H88" s="2" t="s">
        <v>38</v>
      </c>
    </row>
    <row r="89">
      <c r="A89" s="2" t="s">
        <v>224</v>
      </c>
      <c r="B89" s="3">
        <v>45244.0</v>
      </c>
      <c r="C89" s="2" t="s">
        <v>225</v>
      </c>
      <c r="D89" s="2" t="s">
        <v>34</v>
      </c>
      <c r="E89" s="2">
        <v>7.0</v>
      </c>
      <c r="F89" s="2">
        <v>65.45</v>
      </c>
      <c r="G89" s="2">
        <v>458.15</v>
      </c>
      <c r="H89" s="2" t="s">
        <v>38</v>
      </c>
    </row>
    <row r="90">
      <c r="A90" s="2" t="s">
        <v>226</v>
      </c>
      <c r="B90" s="3">
        <v>45012.0</v>
      </c>
      <c r="C90" s="2" t="s">
        <v>227</v>
      </c>
      <c r="D90" s="2" t="s">
        <v>84</v>
      </c>
      <c r="E90" s="2">
        <v>4.0</v>
      </c>
      <c r="F90" s="2">
        <v>62.86</v>
      </c>
      <c r="G90" s="2">
        <v>251.44</v>
      </c>
      <c r="H90" s="2" t="s">
        <v>38</v>
      </c>
    </row>
    <row r="91">
      <c r="A91" s="2" t="s">
        <v>228</v>
      </c>
      <c r="B91" s="3">
        <v>45482.0</v>
      </c>
      <c r="C91" s="2" t="s">
        <v>229</v>
      </c>
      <c r="D91" s="2" t="s">
        <v>126</v>
      </c>
      <c r="E91" s="2">
        <v>7.0</v>
      </c>
      <c r="F91" s="2">
        <v>161.48</v>
      </c>
      <c r="G91" s="2">
        <v>1130.36</v>
      </c>
      <c r="H91" s="2" t="s">
        <v>18</v>
      </c>
    </row>
    <row r="92">
      <c r="A92" s="2" t="s">
        <v>230</v>
      </c>
      <c r="B92" s="3">
        <v>44980.0</v>
      </c>
      <c r="C92" s="2" t="s">
        <v>231</v>
      </c>
      <c r="D92" s="2" t="s">
        <v>148</v>
      </c>
      <c r="E92" s="2">
        <v>2.0</v>
      </c>
      <c r="F92" s="2">
        <v>44.18</v>
      </c>
      <c r="G92" s="2">
        <v>88.36</v>
      </c>
      <c r="H92" s="2" t="s">
        <v>18</v>
      </c>
    </row>
    <row r="93">
      <c r="A93" s="2" t="s">
        <v>232</v>
      </c>
      <c r="B93" s="3">
        <v>45788.0</v>
      </c>
      <c r="C93" s="2" t="s">
        <v>233</v>
      </c>
      <c r="D93" s="2" t="s">
        <v>76</v>
      </c>
      <c r="E93" s="2">
        <v>6.0</v>
      </c>
      <c r="F93" s="2">
        <v>52.33</v>
      </c>
      <c r="G93" s="2">
        <v>313.98</v>
      </c>
      <c r="H93" s="2" t="s">
        <v>38</v>
      </c>
    </row>
    <row r="94">
      <c r="A94" s="2" t="s">
        <v>234</v>
      </c>
      <c r="B94" s="3">
        <v>44894.0</v>
      </c>
      <c r="C94" s="2" t="s">
        <v>125</v>
      </c>
      <c r="D94" s="2" t="s">
        <v>123</v>
      </c>
      <c r="E94" s="2">
        <v>2.0</v>
      </c>
      <c r="F94" s="2">
        <v>52.53</v>
      </c>
      <c r="G94" s="2">
        <v>105.06</v>
      </c>
      <c r="H94" s="2" t="s">
        <v>18</v>
      </c>
    </row>
    <row r="95">
      <c r="A95" s="2" t="s">
        <v>235</v>
      </c>
      <c r="B95" s="3">
        <v>44997.0</v>
      </c>
      <c r="C95" s="2" t="s">
        <v>236</v>
      </c>
      <c r="D95" s="2" t="s">
        <v>237</v>
      </c>
      <c r="E95" s="2">
        <v>10.0</v>
      </c>
      <c r="F95" s="2">
        <v>164.53</v>
      </c>
      <c r="G95" s="2">
        <v>1645.3</v>
      </c>
      <c r="H95" s="2" t="s">
        <v>18</v>
      </c>
    </row>
    <row r="96">
      <c r="A96" s="2" t="s">
        <v>238</v>
      </c>
      <c r="B96" s="3">
        <v>44693.0</v>
      </c>
      <c r="C96" s="2" t="s">
        <v>239</v>
      </c>
      <c r="D96" s="2" t="s">
        <v>76</v>
      </c>
      <c r="E96" s="2">
        <v>1.0</v>
      </c>
      <c r="F96" s="2">
        <v>52.33</v>
      </c>
      <c r="G96" s="2">
        <v>52.33</v>
      </c>
      <c r="H96" s="2" t="s">
        <v>38</v>
      </c>
    </row>
    <row r="97">
      <c r="A97" s="2" t="s">
        <v>240</v>
      </c>
      <c r="B97" s="3">
        <v>44929.0</v>
      </c>
      <c r="C97" s="2" t="s">
        <v>241</v>
      </c>
      <c r="D97" s="2" t="s">
        <v>10</v>
      </c>
      <c r="E97" s="2">
        <v>6.0</v>
      </c>
      <c r="F97" s="2">
        <v>83.01</v>
      </c>
      <c r="G97" s="2">
        <v>498.06</v>
      </c>
      <c r="H97" s="2" t="s">
        <v>18</v>
      </c>
    </row>
    <row r="98">
      <c r="A98" s="2" t="s">
        <v>242</v>
      </c>
      <c r="B98" s="3">
        <v>45300.0</v>
      </c>
      <c r="C98" s="2" t="s">
        <v>243</v>
      </c>
      <c r="D98" s="2" t="s">
        <v>148</v>
      </c>
      <c r="E98" s="2">
        <v>6.0</v>
      </c>
      <c r="F98" s="2">
        <v>44.18</v>
      </c>
      <c r="G98" s="2">
        <v>265.08</v>
      </c>
      <c r="H98" s="2" t="s">
        <v>25</v>
      </c>
    </row>
    <row r="99">
      <c r="A99" s="2" t="s">
        <v>244</v>
      </c>
      <c r="B99" s="3">
        <v>44661.0</v>
      </c>
      <c r="C99" s="2" t="s">
        <v>245</v>
      </c>
      <c r="D99" s="2" t="s">
        <v>21</v>
      </c>
      <c r="E99" s="2">
        <v>10.0</v>
      </c>
      <c r="F99" s="2">
        <v>144.69</v>
      </c>
      <c r="G99" s="2">
        <v>1446.9</v>
      </c>
      <c r="H99" s="2" t="s">
        <v>38</v>
      </c>
    </row>
    <row r="100">
      <c r="A100" s="2" t="s">
        <v>246</v>
      </c>
      <c r="B100" s="3">
        <v>45799.0</v>
      </c>
      <c r="C100" s="2" t="s">
        <v>241</v>
      </c>
      <c r="D100" s="2" t="s">
        <v>247</v>
      </c>
      <c r="E100" s="2">
        <v>7.0</v>
      </c>
      <c r="F100" s="2">
        <v>174.29</v>
      </c>
      <c r="G100" s="2">
        <v>1220.03</v>
      </c>
      <c r="H100" s="2" t="s">
        <v>38</v>
      </c>
    </row>
    <row r="101">
      <c r="A101" s="2" t="s">
        <v>248</v>
      </c>
      <c r="B101" s="3">
        <v>45678.0</v>
      </c>
      <c r="C101" s="2" t="s">
        <v>249</v>
      </c>
      <c r="D101" s="2" t="s">
        <v>155</v>
      </c>
      <c r="E101" s="2">
        <v>9.0</v>
      </c>
      <c r="F101" s="2">
        <v>109.31</v>
      </c>
      <c r="G101" s="2">
        <v>983.79</v>
      </c>
      <c r="H101" s="2" t="s">
        <v>25</v>
      </c>
    </row>
    <row r="102">
      <c r="A102" s="2" t="s">
        <v>250</v>
      </c>
      <c r="B102" s="3">
        <v>45697.0</v>
      </c>
      <c r="C102" s="2" t="s">
        <v>251</v>
      </c>
      <c r="D102" s="2" t="s">
        <v>10</v>
      </c>
      <c r="E102" s="2">
        <v>2.0</v>
      </c>
      <c r="F102" s="2">
        <v>83.01</v>
      </c>
      <c r="G102" s="2">
        <v>166.02</v>
      </c>
      <c r="H102" s="2" t="s">
        <v>38</v>
      </c>
    </row>
    <row r="103">
      <c r="A103" s="2" t="s">
        <v>252</v>
      </c>
      <c r="B103" s="3">
        <v>45569.0</v>
      </c>
      <c r="C103" s="2" t="s">
        <v>253</v>
      </c>
      <c r="D103" s="2" t="s">
        <v>17</v>
      </c>
      <c r="E103" s="2">
        <v>1.0</v>
      </c>
      <c r="F103" s="2">
        <v>115.76</v>
      </c>
      <c r="G103" s="2">
        <v>115.76</v>
      </c>
      <c r="H103" s="2" t="s">
        <v>18</v>
      </c>
    </row>
    <row r="104">
      <c r="A104" s="2" t="s">
        <v>254</v>
      </c>
      <c r="B104" s="3">
        <v>45179.0</v>
      </c>
      <c r="C104" s="2" t="s">
        <v>255</v>
      </c>
      <c r="D104" s="2" t="s">
        <v>73</v>
      </c>
      <c r="E104" s="2">
        <v>9.0</v>
      </c>
      <c r="F104" s="2">
        <v>82.34</v>
      </c>
      <c r="G104" s="2">
        <v>741.06</v>
      </c>
      <c r="H104" s="2" t="s">
        <v>11</v>
      </c>
    </row>
    <row r="105">
      <c r="A105" s="2" t="s">
        <v>256</v>
      </c>
      <c r="B105" s="3">
        <v>45241.0</v>
      </c>
      <c r="C105" s="2" t="s">
        <v>257</v>
      </c>
      <c r="D105" s="2" t="s">
        <v>118</v>
      </c>
      <c r="E105" s="2">
        <v>7.0</v>
      </c>
      <c r="F105" s="2">
        <v>131.34</v>
      </c>
      <c r="G105" s="2">
        <v>919.38</v>
      </c>
      <c r="H105" s="2" t="s">
        <v>25</v>
      </c>
    </row>
    <row r="106">
      <c r="A106" s="2" t="s">
        <v>258</v>
      </c>
      <c r="B106" s="3">
        <v>45123.0</v>
      </c>
      <c r="C106" s="2" t="s">
        <v>259</v>
      </c>
      <c r="D106" s="2" t="s">
        <v>138</v>
      </c>
      <c r="E106" s="2">
        <v>6.0</v>
      </c>
      <c r="F106" s="2">
        <v>193.29</v>
      </c>
      <c r="G106" s="2">
        <v>1159.74</v>
      </c>
      <c r="H106" s="2" t="s">
        <v>18</v>
      </c>
    </row>
    <row r="107">
      <c r="A107" s="2" t="s">
        <v>260</v>
      </c>
      <c r="B107" s="3">
        <v>45995.0</v>
      </c>
      <c r="C107" s="2" t="s">
        <v>261</v>
      </c>
      <c r="D107" s="2" t="s">
        <v>115</v>
      </c>
      <c r="E107" s="2">
        <v>7.0</v>
      </c>
      <c r="F107" s="2">
        <v>191.23</v>
      </c>
      <c r="G107" s="2">
        <v>1338.61</v>
      </c>
      <c r="H107" s="2" t="s">
        <v>11</v>
      </c>
    </row>
    <row r="108">
      <c r="A108" s="2" t="s">
        <v>262</v>
      </c>
      <c r="B108" s="3">
        <v>45363.0</v>
      </c>
      <c r="C108" s="2" t="s">
        <v>263</v>
      </c>
      <c r="D108" s="2" t="s">
        <v>123</v>
      </c>
      <c r="E108" s="2">
        <v>8.0</v>
      </c>
      <c r="F108" s="2">
        <v>52.53</v>
      </c>
      <c r="G108" s="2">
        <v>420.24</v>
      </c>
      <c r="H108" s="2" t="s">
        <v>18</v>
      </c>
    </row>
    <row r="109">
      <c r="A109" s="2" t="s">
        <v>264</v>
      </c>
      <c r="B109" s="3">
        <v>44958.0</v>
      </c>
      <c r="C109" s="2" t="s">
        <v>265</v>
      </c>
      <c r="D109" s="2" t="s">
        <v>202</v>
      </c>
      <c r="E109" s="2">
        <v>7.0</v>
      </c>
      <c r="F109" s="2">
        <v>159.7</v>
      </c>
      <c r="G109" s="2">
        <v>1117.9</v>
      </c>
      <c r="H109" s="2" t="s">
        <v>25</v>
      </c>
    </row>
    <row r="110">
      <c r="A110" s="2" t="s">
        <v>266</v>
      </c>
      <c r="B110" s="3">
        <v>44619.0</v>
      </c>
      <c r="C110" s="2" t="s">
        <v>267</v>
      </c>
      <c r="D110" s="2" t="s">
        <v>41</v>
      </c>
      <c r="E110" s="2">
        <v>9.0</v>
      </c>
      <c r="F110" s="2">
        <v>54.76</v>
      </c>
      <c r="G110" s="2">
        <v>492.84</v>
      </c>
      <c r="H110" s="2" t="s">
        <v>11</v>
      </c>
    </row>
    <row r="111">
      <c r="A111" s="2" t="s">
        <v>268</v>
      </c>
      <c r="B111" s="3">
        <v>44786.0</v>
      </c>
      <c r="C111" s="2" t="s">
        <v>269</v>
      </c>
      <c r="D111" s="2" t="s">
        <v>202</v>
      </c>
      <c r="E111" s="2">
        <v>9.0</v>
      </c>
      <c r="F111" s="2">
        <v>159.7</v>
      </c>
      <c r="G111" s="2">
        <v>1437.3</v>
      </c>
      <c r="H111" s="2" t="s">
        <v>25</v>
      </c>
    </row>
    <row r="112">
      <c r="A112" s="2" t="s">
        <v>270</v>
      </c>
      <c r="B112" s="3">
        <v>45171.0</v>
      </c>
      <c r="C112" s="2" t="s">
        <v>194</v>
      </c>
      <c r="D112" s="2" t="s">
        <v>92</v>
      </c>
      <c r="E112" s="2">
        <v>10.0</v>
      </c>
      <c r="F112" s="2">
        <v>37.05</v>
      </c>
      <c r="G112" s="2">
        <v>370.5</v>
      </c>
      <c r="H112" s="2" t="s">
        <v>25</v>
      </c>
    </row>
    <row r="113">
      <c r="A113" s="2" t="s">
        <v>271</v>
      </c>
      <c r="B113" s="3">
        <v>44643.0</v>
      </c>
      <c r="C113" s="2" t="s">
        <v>272</v>
      </c>
      <c r="D113" s="2" t="s">
        <v>89</v>
      </c>
      <c r="E113" s="2">
        <v>5.0</v>
      </c>
      <c r="F113" s="2">
        <v>73.93</v>
      </c>
      <c r="G113" s="2">
        <v>369.65</v>
      </c>
      <c r="H113" s="2" t="s">
        <v>18</v>
      </c>
    </row>
    <row r="114">
      <c r="A114" s="2" t="s">
        <v>273</v>
      </c>
      <c r="B114" s="3">
        <v>45492.0</v>
      </c>
      <c r="C114" s="2" t="s">
        <v>274</v>
      </c>
      <c r="D114" s="2" t="s">
        <v>47</v>
      </c>
      <c r="E114" s="2">
        <v>5.0</v>
      </c>
      <c r="F114" s="2">
        <v>104.81</v>
      </c>
      <c r="G114" s="2">
        <v>524.05</v>
      </c>
      <c r="H114" s="2" t="s">
        <v>11</v>
      </c>
    </row>
    <row r="115">
      <c r="A115" s="2" t="s">
        <v>275</v>
      </c>
      <c r="B115" s="3">
        <v>44602.0</v>
      </c>
      <c r="C115" s="2" t="s">
        <v>276</v>
      </c>
      <c r="D115" s="2" t="s">
        <v>277</v>
      </c>
      <c r="E115" s="2">
        <v>5.0</v>
      </c>
      <c r="F115" s="2">
        <v>35.91</v>
      </c>
      <c r="G115" s="2">
        <v>179.55</v>
      </c>
      <c r="H115" s="2" t="s">
        <v>38</v>
      </c>
    </row>
    <row r="116">
      <c r="A116" s="2" t="s">
        <v>278</v>
      </c>
      <c r="B116" s="3">
        <v>45407.0</v>
      </c>
      <c r="C116" s="2" t="s">
        <v>279</v>
      </c>
      <c r="D116" s="2" t="s">
        <v>133</v>
      </c>
      <c r="E116" s="2">
        <v>4.0</v>
      </c>
      <c r="F116" s="2">
        <v>143.58</v>
      </c>
      <c r="G116" s="2">
        <v>574.32</v>
      </c>
      <c r="H116" s="2" t="s">
        <v>38</v>
      </c>
    </row>
    <row r="117">
      <c r="A117" s="2" t="s">
        <v>280</v>
      </c>
      <c r="B117" s="3">
        <v>44826.0</v>
      </c>
      <c r="C117" s="2" t="s">
        <v>281</v>
      </c>
      <c r="D117" s="2" t="s">
        <v>82</v>
      </c>
      <c r="E117" s="2">
        <v>8.0</v>
      </c>
      <c r="F117" s="2">
        <v>190.65</v>
      </c>
      <c r="G117" s="2">
        <v>1525.2</v>
      </c>
      <c r="H117" s="2" t="s">
        <v>18</v>
      </c>
    </row>
    <row r="118">
      <c r="A118" s="2" t="s">
        <v>282</v>
      </c>
      <c r="B118" s="3">
        <v>45976.0</v>
      </c>
      <c r="C118" s="2" t="s">
        <v>283</v>
      </c>
      <c r="D118" s="2" t="s">
        <v>73</v>
      </c>
      <c r="E118" s="2">
        <v>1.0</v>
      </c>
      <c r="F118" s="2">
        <v>82.34</v>
      </c>
      <c r="G118" s="2">
        <v>82.34</v>
      </c>
      <c r="H118" s="2" t="s">
        <v>11</v>
      </c>
    </row>
    <row r="119">
      <c r="A119" s="2" t="s">
        <v>284</v>
      </c>
      <c r="B119" s="3">
        <v>46029.0</v>
      </c>
      <c r="C119" s="2" t="s">
        <v>285</v>
      </c>
      <c r="D119" s="2" t="s">
        <v>17</v>
      </c>
      <c r="E119" s="2">
        <v>1.0</v>
      </c>
      <c r="F119" s="2">
        <v>115.76</v>
      </c>
      <c r="G119" s="2">
        <v>115.76</v>
      </c>
      <c r="H119" s="2" t="s">
        <v>18</v>
      </c>
    </row>
    <row r="120">
      <c r="A120" s="2" t="s">
        <v>286</v>
      </c>
      <c r="B120" s="3">
        <v>44727.0</v>
      </c>
      <c r="C120" s="2" t="s">
        <v>259</v>
      </c>
      <c r="D120" s="2" t="s">
        <v>123</v>
      </c>
      <c r="E120" s="2">
        <v>7.0</v>
      </c>
      <c r="F120" s="2">
        <v>52.53</v>
      </c>
      <c r="G120" s="2">
        <v>367.71</v>
      </c>
      <c r="H120" s="2" t="s">
        <v>11</v>
      </c>
    </row>
    <row r="121">
      <c r="A121" s="2" t="s">
        <v>287</v>
      </c>
      <c r="B121" s="3">
        <v>45292.0</v>
      </c>
      <c r="C121" s="2" t="s">
        <v>288</v>
      </c>
      <c r="D121" s="2" t="s">
        <v>28</v>
      </c>
      <c r="E121" s="2">
        <v>8.0</v>
      </c>
      <c r="F121" s="2">
        <v>187.26</v>
      </c>
      <c r="G121" s="2">
        <v>1498.08</v>
      </c>
      <c r="H121" s="2" t="s">
        <v>38</v>
      </c>
    </row>
    <row r="122">
      <c r="A122" s="2" t="s">
        <v>289</v>
      </c>
      <c r="B122" s="3">
        <v>45554.0</v>
      </c>
      <c r="C122" s="2" t="s">
        <v>290</v>
      </c>
      <c r="D122" s="2" t="s">
        <v>115</v>
      </c>
      <c r="E122" s="2">
        <v>4.0</v>
      </c>
      <c r="F122" s="2">
        <v>191.23</v>
      </c>
      <c r="G122" s="2">
        <v>764.92</v>
      </c>
      <c r="H122" s="2" t="s">
        <v>38</v>
      </c>
    </row>
    <row r="123">
      <c r="A123" s="2" t="s">
        <v>291</v>
      </c>
      <c r="B123" s="3">
        <v>44690.0</v>
      </c>
      <c r="C123" s="2" t="s">
        <v>292</v>
      </c>
      <c r="D123" s="2" t="s">
        <v>141</v>
      </c>
      <c r="E123" s="2">
        <v>4.0</v>
      </c>
      <c r="F123" s="2">
        <v>144.86</v>
      </c>
      <c r="G123" s="2">
        <v>579.44</v>
      </c>
      <c r="H123" s="2" t="s">
        <v>11</v>
      </c>
    </row>
    <row r="124">
      <c r="A124" s="2" t="s">
        <v>293</v>
      </c>
      <c r="B124" s="3">
        <v>44669.0</v>
      </c>
      <c r="C124" s="2" t="s">
        <v>294</v>
      </c>
      <c r="D124" s="2" t="s">
        <v>277</v>
      </c>
      <c r="E124" s="2">
        <v>2.0</v>
      </c>
      <c r="F124" s="2">
        <v>35.91</v>
      </c>
      <c r="G124" s="2">
        <v>71.82</v>
      </c>
      <c r="H124" s="2" t="s">
        <v>25</v>
      </c>
    </row>
    <row r="125">
      <c r="A125" s="2" t="s">
        <v>295</v>
      </c>
      <c r="B125" s="3">
        <v>44956.0</v>
      </c>
      <c r="C125" s="2" t="s">
        <v>296</v>
      </c>
      <c r="D125" s="2" t="s">
        <v>138</v>
      </c>
      <c r="E125" s="2">
        <v>5.0</v>
      </c>
      <c r="F125" s="2">
        <v>193.29</v>
      </c>
      <c r="G125" s="2">
        <v>966.45</v>
      </c>
      <c r="H125" s="2" t="s">
        <v>18</v>
      </c>
    </row>
    <row r="126">
      <c r="A126" s="2" t="s">
        <v>297</v>
      </c>
      <c r="B126" s="3">
        <v>44736.0</v>
      </c>
      <c r="C126" s="2" t="s">
        <v>298</v>
      </c>
      <c r="D126" s="2" t="s">
        <v>167</v>
      </c>
      <c r="E126" s="2">
        <v>9.0</v>
      </c>
      <c r="F126" s="2">
        <v>94.59</v>
      </c>
      <c r="G126" s="2">
        <v>851.31</v>
      </c>
      <c r="H126" s="2" t="s">
        <v>18</v>
      </c>
    </row>
    <row r="127">
      <c r="A127" s="2" t="s">
        <v>299</v>
      </c>
      <c r="B127" s="3">
        <v>44677.0</v>
      </c>
      <c r="C127" s="2" t="s">
        <v>300</v>
      </c>
      <c r="D127" s="2" t="s">
        <v>202</v>
      </c>
      <c r="E127" s="2">
        <v>3.0</v>
      </c>
      <c r="F127" s="2">
        <v>159.7</v>
      </c>
      <c r="G127" s="2">
        <v>479.1</v>
      </c>
      <c r="H127" s="2" t="s">
        <v>18</v>
      </c>
    </row>
    <row r="128">
      <c r="A128" s="2" t="s">
        <v>301</v>
      </c>
      <c r="B128" s="3">
        <v>45146.0</v>
      </c>
      <c r="C128" s="2" t="s">
        <v>302</v>
      </c>
      <c r="D128" s="2" t="s">
        <v>76</v>
      </c>
      <c r="E128" s="2">
        <v>10.0</v>
      </c>
      <c r="F128" s="2">
        <v>52.33</v>
      </c>
      <c r="G128" s="2">
        <v>523.3</v>
      </c>
      <c r="H128" s="2" t="s">
        <v>18</v>
      </c>
    </row>
    <row r="129">
      <c r="A129" s="2" t="s">
        <v>303</v>
      </c>
      <c r="B129" s="3">
        <v>45800.0</v>
      </c>
      <c r="C129" s="2" t="s">
        <v>304</v>
      </c>
      <c r="D129" s="2" t="s">
        <v>170</v>
      </c>
      <c r="E129" s="2">
        <v>1.0</v>
      </c>
      <c r="F129" s="2">
        <v>146.68</v>
      </c>
      <c r="G129" s="2">
        <v>146.68</v>
      </c>
      <c r="H129" s="2" t="s">
        <v>18</v>
      </c>
    </row>
    <row r="130">
      <c r="A130" s="2" t="s">
        <v>305</v>
      </c>
      <c r="B130" s="3">
        <v>45830.0</v>
      </c>
      <c r="C130" s="2" t="s">
        <v>306</v>
      </c>
      <c r="D130" s="2" t="s">
        <v>68</v>
      </c>
      <c r="E130" s="2">
        <v>10.0</v>
      </c>
      <c r="F130" s="2">
        <v>59.18</v>
      </c>
      <c r="G130" s="2">
        <v>591.8</v>
      </c>
      <c r="H130" s="2" t="s">
        <v>38</v>
      </c>
    </row>
    <row r="131">
      <c r="A131" s="2" t="s">
        <v>307</v>
      </c>
      <c r="B131" s="3">
        <v>45446.0</v>
      </c>
      <c r="C131" s="2" t="s">
        <v>308</v>
      </c>
      <c r="D131" s="2" t="s">
        <v>76</v>
      </c>
      <c r="E131" s="2">
        <v>4.0</v>
      </c>
      <c r="F131" s="2">
        <v>52.33</v>
      </c>
      <c r="G131" s="2">
        <v>209.32</v>
      </c>
      <c r="H131" s="2" t="s">
        <v>18</v>
      </c>
    </row>
    <row r="132">
      <c r="A132" s="2" t="s">
        <v>309</v>
      </c>
      <c r="B132" s="3">
        <v>45112.0</v>
      </c>
      <c r="C132" s="2" t="s">
        <v>310</v>
      </c>
      <c r="D132" s="2" t="s">
        <v>118</v>
      </c>
      <c r="E132" s="2">
        <v>5.0</v>
      </c>
      <c r="F132" s="2">
        <v>131.34</v>
      </c>
      <c r="G132" s="2">
        <v>656.7</v>
      </c>
      <c r="H132" s="2" t="s">
        <v>38</v>
      </c>
    </row>
    <row r="133">
      <c r="A133" s="2" t="s">
        <v>311</v>
      </c>
      <c r="B133" s="3">
        <v>45179.0</v>
      </c>
      <c r="C133" s="2" t="s">
        <v>312</v>
      </c>
      <c r="D133" s="2" t="s">
        <v>14</v>
      </c>
      <c r="E133" s="2">
        <v>6.0</v>
      </c>
      <c r="F133" s="2">
        <v>75.41</v>
      </c>
      <c r="G133" s="2">
        <v>452.46</v>
      </c>
      <c r="H133" s="2" t="s">
        <v>11</v>
      </c>
    </row>
    <row r="134">
      <c r="A134" s="2" t="s">
        <v>313</v>
      </c>
      <c r="B134" s="3">
        <v>45060.0</v>
      </c>
      <c r="C134" s="2" t="s">
        <v>314</v>
      </c>
      <c r="D134" s="2" t="s">
        <v>315</v>
      </c>
      <c r="E134" s="2">
        <v>5.0</v>
      </c>
      <c r="F134" s="2">
        <v>89.45</v>
      </c>
      <c r="G134" s="2">
        <v>447.25</v>
      </c>
      <c r="H134" s="2" t="s">
        <v>11</v>
      </c>
    </row>
    <row r="135">
      <c r="A135" s="2" t="s">
        <v>316</v>
      </c>
      <c r="B135" s="3">
        <v>44925.0</v>
      </c>
      <c r="C135" s="2" t="s">
        <v>317</v>
      </c>
      <c r="D135" s="2" t="s">
        <v>184</v>
      </c>
      <c r="E135" s="2">
        <v>9.0</v>
      </c>
      <c r="F135" s="2">
        <v>152.99</v>
      </c>
      <c r="G135" s="2">
        <v>1376.91</v>
      </c>
      <c r="H135" s="2" t="s">
        <v>11</v>
      </c>
    </row>
    <row r="136">
      <c r="A136" s="2" t="s">
        <v>318</v>
      </c>
      <c r="B136" s="3">
        <v>45342.0</v>
      </c>
      <c r="C136" s="2" t="s">
        <v>319</v>
      </c>
      <c r="D136" s="2" t="s">
        <v>59</v>
      </c>
      <c r="E136" s="2">
        <v>5.0</v>
      </c>
      <c r="F136" s="2">
        <v>161.81</v>
      </c>
      <c r="G136" s="2">
        <v>809.05</v>
      </c>
      <c r="H136" s="2" t="s">
        <v>25</v>
      </c>
    </row>
    <row r="137">
      <c r="A137" s="2" t="s">
        <v>320</v>
      </c>
      <c r="B137" s="3">
        <v>45027.0</v>
      </c>
      <c r="C137" s="2" t="s">
        <v>321</v>
      </c>
      <c r="D137" s="2" t="s">
        <v>123</v>
      </c>
      <c r="E137" s="2">
        <v>5.0</v>
      </c>
      <c r="F137" s="2">
        <v>52.53</v>
      </c>
      <c r="G137" s="2">
        <v>262.65</v>
      </c>
      <c r="H137" s="2" t="s">
        <v>11</v>
      </c>
    </row>
    <row r="138">
      <c r="A138" s="2" t="s">
        <v>322</v>
      </c>
      <c r="B138" s="3">
        <v>45688.0</v>
      </c>
      <c r="C138" s="2" t="s">
        <v>323</v>
      </c>
      <c r="D138" s="2" t="s">
        <v>138</v>
      </c>
      <c r="E138" s="2">
        <v>1.0</v>
      </c>
      <c r="F138" s="2">
        <v>193.29</v>
      </c>
      <c r="G138" s="2">
        <v>193.29</v>
      </c>
      <c r="H138" s="2" t="s">
        <v>18</v>
      </c>
    </row>
    <row r="139">
      <c r="A139" s="2" t="s">
        <v>324</v>
      </c>
      <c r="B139" s="3">
        <v>45176.0</v>
      </c>
      <c r="C139" s="2" t="s">
        <v>325</v>
      </c>
      <c r="D139" s="2" t="s">
        <v>123</v>
      </c>
      <c r="E139" s="2">
        <v>8.0</v>
      </c>
      <c r="F139" s="2">
        <v>52.53</v>
      </c>
      <c r="G139" s="2">
        <v>420.24</v>
      </c>
      <c r="H139" s="2" t="s">
        <v>18</v>
      </c>
    </row>
    <row r="140">
      <c r="A140" s="2" t="s">
        <v>326</v>
      </c>
      <c r="B140" s="3">
        <v>45653.0</v>
      </c>
      <c r="C140" s="2" t="s">
        <v>130</v>
      </c>
      <c r="D140" s="2" t="s">
        <v>118</v>
      </c>
      <c r="E140" s="2">
        <v>8.0</v>
      </c>
      <c r="F140" s="2">
        <v>131.34</v>
      </c>
      <c r="G140" s="2">
        <v>1050.72</v>
      </c>
      <c r="H140" s="2" t="s">
        <v>18</v>
      </c>
    </row>
    <row r="141">
      <c r="A141" s="2" t="s">
        <v>327</v>
      </c>
      <c r="B141" s="3">
        <v>44672.0</v>
      </c>
      <c r="C141" s="2" t="s">
        <v>162</v>
      </c>
      <c r="D141" s="2" t="s">
        <v>28</v>
      </c>
      <c r="E141" s="2">
        <v>4.0</v>
      </c>
      <c r="F141" s="2">
        <v>187.26</v>
      </c>
      <c r="G141" s="2">
        <v>749.04</v>
      </c>
      <c r="H141" s="2" t="s">
        <v>11</v>
      </c>
    </row>
    <row r="142">
      <c r="A142" s="2" t="s">
        <v>328</v>
      </c>
      <c r="B142" s="3">
        <v>45870.0</v>
      </c>
      <c r="C142" s="2" t="s">
        <v>329</v>
      </c>
      <c r="D142" s="2" t="s">
        <v>126</v>
      </c>
      <c r="E142" s="2">
        <v>8.0</v>
      </c>
      <c r="F142" s="2">
        <v>161.48</v>
      </c>
      <c r="G142" s="2">
        <v>1291.84</v>
      </c>
      <c r="H142" s="2" t="s">
        <v>18</v>
      </c>
    </row>
    <row r="143">
      <c r="A143" s="2" t="s">
        <v>330</v>
      </c>
      <c r="B143" s="3">
        <v>45069.0</v>
      </c>
      <c r="C143" s="2" t="s">
        <v>331</v>
      </c>
      <c r="D143" s="2" t="s">
        <v>202</v>
      </c>
      <c r="E143" s="2">
        <v>7.0</v>
      </c>
      <c r="F143" s="2">
        <v>159.7</v>
      </c>
      <c r="G143" s="2">
        <v>1117.9</v>
      </c>
      <c r="H143" s="2" t="s">
        <v>25</v>
      </c>
    </row>
    <row r="144">
      <c r="A144" s="2" t="s">
        <v>332</v>
      </c>
      <c r="B144" s="3">
        <v>45968.0</v>
      </c>
      <c r="C144" s="2" t="s">
        <v>265</v>
      </c>
      <c r="D144" s="2" t="s">
        <v>277</v>
      </c>
      <c r="E144" s="2">
        <v>9.0</v>
      </c>
      <c r="F144" s="2">
        <v>35.91</v>
      </c>
      <c r="G144" s="2">
        <v>323.19</v>
      </c>
      <c r="H144" s="2" t="s">
        <v>38</v>
      </c>
    </row>
    <row r="145">
      <c r="A145" s="2" t="s">
        <v>333</v>
      </c>
      <c r="B145" s="3">
        <v>45906.0</v>
      </c>
      <c r="C145" s="2" t="s">
        <v>334</v>
      </c>
      <c r="D145" s="2" t="s">
        <v>115</v>
      </c>
      <c r="E145" s="2">
        <v>9.0</v>
      </c>
      <c r="F145" s="2">
        <v>191.23</v>
      </c>
      <c r="G145" s="2">
        <v>1721.07</v>
      </c>
      <c r="H145" s="2" t="s">
        <v>18</v>
      </c>
    </row>
    <row r="146">
      <c r="A146" s="2" t="s">
        <v>335</v>
      </c>
      <c r="B146" s="3">
        <v>44925.0</v>
      </c>
      <c r="C146" s="2" t="s">
        <v>241</v>
      </c>
      <c r="D146" s="2" t="s">
        <v>24</v>
      </c>
      <c r="E146" s="2">
        <v>9.0</v>
      </c>
      <c r="F146" s="2">
        <v>90.5</v>
      </c>
      <c r="G146" s="2">
        <v>814.5</v>
      </c>
      <c r="H146" s="2" t="s">
        <v>25</v>
      </c>
    </row>
    <row r="147">
      <c r="A147" s="2" t="s">
        <v>336</v>
      </c>
      <c r="B147" s="3">
        <v>45198.0</v>
      </c>
      <c r="C147" s="2" t="s">
        <v>137</v>
      </c>
      <c r="D147" s="2" t="s">
        <v>170</v>
      </c>
      <c r="E147" s="2">
        <v>8.0</v>
      </c>
      <c r="F147" s="2">
        <v>146.68</v>
      </c>
      <c r="G147" s="2">
        <v>1173.44</v>
      </c>
      <c r="H147" s="2" t="s">
        <v>38</v>
      </c>
    </row>
    <row r="148">
      <c r="A148" s="2" t="s">
        <v>337</v>
      </c>
      <c r="B148" s="3">
        <v>45450.0</v>
      </c>
      <c r="C148" s="2" t="s">
        <v>338</v>
      </c>
      <c r="D148" s="2" t="s">
        <v>167</v>
      </c>
      <c r="E148" s="2">
        <v>2.0</v>
      </c>
      <c r="F148" s="2">
        <v>94.59</v>
      </c>
      <c r="G148" s="2">
        <v>189.18</v>
      </c>
      <c r="H148" s="2" t="s">
        <v>25</v>
      </c>
    </row>
    <row r="149">
      <c r="A149" s="2" t="s">
        <v>339</v>
      </c>
      <c r="B149" s="3">
        <v>44686.0</v>
      </c>
      <c r="C149" s="2" t="s">
        <v>162</v>
      </c>
      <c r="D149" s="2" t="s">
        <v>340</v>
      </c>
      <c r="E149" s="2">
        <v>8.0</v>
      </c>
      <c r="F149" s="2">
        <v>140.72</v>
      </c>
      <c r="G149" s="2">
        <v>1125.76</v>
      </c>
      <c r="H149" s="2" t="s">
        <v>25</v>
      </c>
    </row>
    <row r="150">
      <c r="A150" s="2" t="s">
        <v>341</v>
      </c>
      <c r="B150" s="3">
        <v>45928.0</v>
      </c>
      <c r="C150" s="2" t="s">
        <v>342</v>
      </c>
      <c r="D150" s="2" t="s">
        <v>21</v>
      </c>
      <c r="E150" s="2">
        <v>4.0</v>
      </c>
      <c r="F150" s="2">
        <v>144.69</v>
      </c>
      <c r="G150" s="2">
        <v>578.76</v>
      </c>
      <c r="H150" s="2" t="s">
        <v>38</v>
      </c>
    </row>
    <row r="151">
      <c r="A151" s="2" t="s">
        <v>343</v>
      </c>
      <c r="B151" s="3">
        <v>45948.0</v>
      </c>
      <c r="C151" s="2" t="s">
        <v>344</v>
      </c>
      <c r="D151" s="2" t="s">
        <v>170</v>
      </c>
      <c r="E151" s="2">
        <v>8.0</v>
      </c>
      <c r="F151" s="2">
        <v>146.68</v>
      </c>
      <c r="G151" s="2">
        <v>1173.44</v>
      </c>
      <c r="H151" s="2" t="s">
        <v>25</v>
      </c>
    </row>
    <row r="152">
      <c r="A152" s="2" t="s">
        <v>345</v>
      </c>
      <c r="B152" s="3">
        <v>44998.0</v>
      </c>
      <c r="C152" s="2" t="s">
        <v>342</v>
      </c>
      <c r="D152" s="2" t="s">
        <v>170</v>
      </c>
      <c r="E152" s="2">
        <v>9.0</v>
      </c>
      <c r="F152" s="2">
        <v>146.68</v>
      </c>
      <c r="G152" s="2">
        <v>1320.12</v>
      </c>
      <c r="H152" s="2" t="s">
        <v>25</v>
      </c>
    </row>
    <row r="153">
      <c r="A153" s="2" t="s">
        <v>346</v>
      </c>
      <c r="B153" s="3">
        <v>44610.0</v>
      </c>
      <c r="C153" s="2" t="s">
        <v>227</v>
      </c>
      <c r="D153" s="2" t="s">
        <v>160</v>
      </c>
      <c r="E153" s="2">
        <v>3.0</v>
      </c>
      <c r="F153" s="2">
        <v>43.15</v>
      </c>
      <c r="G153" s="2">
        <v>129.45</v>
      </c>
      <c r="H153" s="2" t="s">
        <v>25</v>
      </c>
    </row>
    <row r="154">
      <c r="A154" s="2" t="s">
        <v>347</v>
      </c>
      <c r="B154" s="3">
        <v>45117.0</v>
      </c>
      <c r="C154" s="2" t="s">
        <v>40</v>
      </c>
      <c r="D154" s="2" t="s">
        <v>148</v>
      </c>
      <c r="E154" s="2">
        <v>2.0</v>
      </c>
      <c r="F154" s="2">
        <v>44.18</v>
      </c>
      <c r="G154" s="2">
        <v>88.36</v>
      </c>
      <c r="H154" s="2" t="s">
        <v>25</v>
      </c>
    </row>
    <row r="155">
      <c r="A155" s="2" t="s">
        <v>348</v>
      </c>
      <c r="B155" s="3">
        <v>44644.0</v>
      </c>
      <c r="C155" s="2" t="s">
        <v>349</v>
      </c>
      <c r="D155" s="2" t="s">
        <v>79</v>
      </c>
      <c r="E155" s="2">
        <v>10.0</v>
      </c>
      <c r="F155" s="2">
        <v>183.75</v>
      </c>
      <c r="G155" s="2">
        <v>1837.5</v>
      </c>
      <c r="H155" s="2" t="s">
        <v>18</v>
      </c>
    </row>
    <row r="156">
      <c r="A156" s="2" t="s">
        <v>350</v>
      </c>
      <c r="B156" s="3">
        <v>45338.0</v>
      </c>
      <c r="C156" s="2" t="s">
        <v>351</v>
      </c>
      <c r="D156" s="2" t="s">
        <v>126</v>
      </c>
      <c r="E156" s="2">
        <v>2.0</v>
      </c>
      <c r="F156" s="2">
        <v>161.48</v>
      </c>
      <c r="G156" s="2">
        <v>322.96</v>
      </c>
      <c r="H156" s="2" t="s">
        <v>11</v>
      </c>
    </row>
    <row r="157">
      <c r="A157" s="2" t="s">
        <v>352</v>
      </c>
      <c r="B157" s="3">
        <v>45531.0</v>
      </c>
      <c r="C157" s="2" t="s">
        <v>199</v>
      </c>
      <c r="D157" s="2" t="s">
        <v>155</v>
      </c>
      <c r="E157" s="2">
        <v>1.0</v>
      </c>
      <c r="F157" s="2">
        <v>109.31</v>
      </c>
      <c r="G157" s="2">
        <v>109.31</v>
      </c>
      <c r="H157" s="2" t="s">
        <v>11</v>
      </c>
    </row>
    <row r="158">
      <c r="A158" s="2" t="s">
        <v>353</v>
      </c>
      <c r="B158" s="3">
        <v>45722.0</v>
      </c>
      <c r="C158" s="2" t="s">
        <v>354</v>
      </c>
      <c r="D158" s="2" t="s">
        <v>21</v>
      </c>
      <c r="E158" s="2">
        <v>9.0</v>
      </c>
      <c r="F158" s="2">
        <v>144.69</v>
      </c>
      <c r="G158" s="2">
        <v>1302.21</v>
      </c>
      <c r="H158" s="2" t="s">
        <v>11</v>
      </c>
    </row>
    <row r="159">
      <c r="A159" s="2" t="s">
        <v>355</v>
      </c>
      <c r="B159" s="3">
        <v>44994.0</v>
      </c>
      <c r="C159" s="2" t="s">
        <v>356</v>
      </c>
      <c r="D159" s="2" t="s">
        <v>148</v>
      </c>
      <c r="E159" s="2">
        <v>9.0</v>
      </c>
      <c r="F159" s="2">
        <v>44.18</v>
      </c>
      <c r="G159" s="2">
        <v>397.62</v>
      </c>
      <c r="H159" s="2" t="s">
        <v>11</v>
      </c>
    </row>
    <row r="160">
      <c r="A160" s="2" t="s">
        <v>357</v>
      </c>
      <c r="B160" s="3">
        <v>45641.0</v>
      </c>
      <c r="C160" s="2" t="s">
        <v>166</v>
      </c>
      <c r="D160" s="2" t="s">
        <v>155</v>
      </c>
      <c r="E160" s="2">
        <v>1.0</v>
      </c>
      <c r="F160" s="2">
        <v>109.31</v>
      </c>
      <c r="G160" s="2">
        <v>109.31</v>
      </c>
      <c r="H160" s="2" t="s">
        <v>18</v>
      </c>
    </row>
    <row r="161">
      <c r="A161" s="2" t="s">
        <v>358</v>
      </c>
      <c r="B161" s="3">
        <v>44762.0</v>
      </c>
      <c r="C161" s="2" t="s">
        <v>359</v>
      </c>
      <c r="D161" s="2" t="s">
        <v>82</v>
      </c>
      <c r="E161" s="2">
        <v>6.0</v>
      </c>
      <c r="F161" s="2">
        <v>190.65</v>
      </c>
      <c r="G161" s="2">
        <v>1143.9</v>
      </c>
      <c r="H161" s="2" t="s">
        <v>38</v>
      </c>
    </row>
    <row r="162">
      <c r="A162" s="2" t="s">
        <v>360</v>
      </c>
      <c r="B162" s="3">
        <v>45918.0</v>
      </c>
      <c r="C162" s="2" t="s">
        <v>361</v>
      </c>
      <c r="D162" s="2" t="s">
        <v>123</v>
      </c>
      <c r="E162" s="2">
        <v>3.0</v>
      </c>
      <c r="F162" s="2">
        <v>52.53</v>
      </c>
      <c r="G162" s="2">
        <v>157.59</v>
      </c>
      <c r="H162" s="2" t="s">
        <v>18</v>
      </c>
    </row>
    <row r="163">
      <c r="A163" s="2" t="s">
        <v>362</v>
      </c>
      <c r="B163" s="3">
        <v>45627.0</v>
      </c>
      <c r="C163" s="2" t="s">
        <v>363</v>
      </c>
      <c r="D163" s="2" t="s">
        <v>14</v>
      </c>
      <c r="E163" s="2">
        <v>5.0</v>
      </c>
      <c r="F163" s="2">
        <v>75.41</v>
      </c>
      <c r="G163" s="2">
        <v>377.05</v>
      </c>
      <c r="H163" s="2" t="s">
        <v>18</v>
      </c>
    </row>
    <row r="164">
      <c r="A164" s="2" t="s">
        <v>364</v>
      </c>
      <c r="B164" s="3">
        <v>44897.0</v>
      </c>
      <c r="C164" s="2" t="s">
        <v>365</v>
      </c>
      <c r="D164" s="2" t="s">
        <v>10</v>
      </c>
      <c r="E164" s="2">
        <v>1.0</v>
      </c>
      <c r="F164" s="2">
        <v>83.01</v>
      </c>
      <c r="G164" s="2">
        <v>83.01</v>
      </c>
      <c r="H164" s="2" t="s">
        <v>25</v>
      </c>
    </row>
    <row r="165">
      <c r="A165" s="2" t="s">
        <v>366</v>
      </c>
      <c r="B165" s="3">
        <v>45653.0</v>
      </c>
      <c r="C165" s="2" t="s">
        <v>367</v>
      </c>
      <c r="D165" s="2" t="s">
        <v>138</v>
      </c>
      <c r="E165" s="2">
        <v>4.0</v>
      </c>
      <c r="F165" s="2">
        <v>193.29</v>
      </c>
      <c r="G165" s="2">
        <v>773.16</v>
      </c>
      <c r="H165" s="2" t="s">
        <v>38</v>
      </c>
    </row>
    <row r="166">
      <c r="A166" s="2" t="s">
        <v>368</v>
      </c>
      <c r="B166" s="3">
        <v>46024.0</v>
      </c>
      <c r="C166" s="2" t="s">
        <v>114</v>
      </c>
      <c r="D166" s="2" t="s">
        <v>191</v>
      </c>
      <c r="E166" s="2">
        <v>5.0</v>
      </c>
      <c r="F166" s="2">
        <v>70.71</v>
      </c>
      <c r="G166" s="2">
        <v>353.55</v>
      </c>
      <c r="H166" s="2" t="s">
        <v>18</v>
      </c>
    </row>
    <row r="167">
      <c r="A167" s="2" t="s">
        <v>369</v>
      </c>
      <c r="B167" s="3">
        <v>44689.0</v>
      </c>
      <c r="C167" s="2" t="s">
        <v>72</v>
      </c>
      <c r="D167" s="2" t="s">
        <v>370</v>
      </c>
      <c r="E167" s="2">
        <v>4.0</v>
      </c>
      <c r="F167" s="2">
        <v>73.45</v>
      </c>
      <c r="G167" s="2">
        <v>293.8</v>
      </c>
      <c r="H167" s="2" t="s">
        <v>38</v>
      </c>
    </row>
    <row r="168">
      <c r="A168" s="2" t="s">
        <v>371</v>
      </c>
      <c r="B168" s="3">
        <v>44981.0</v>
      </c>
      <c r="C168" s="2" t="s">
        <v>372</v>
      </c>
      <c r="D168" s="2" t="s">
        <v>47</v>
      </c>
      <c r="E168" s="2">
        <v>5.0</v>
      </c>
      <c r="F168" s="2">
        <v>104.81</v>
      </c>
      <c r="G168" s="2">
        <v>524.05</v>
      </c>
      <c r="H168" s="2" t="s">
        <v>38</v>
      </c>
    </row>
    <row r="169">
      <c r="A169" s="2" t="s">
        <v>373</v>
      </c>
      <c r="B169" s="3">
        <v>45357.0</v>
      </c>
      <c r="C169" s="2" t="s">
        <v>361</v>
      </c>
      <c r="D169" s="2" t="s">
        <v>133</v>
      </c>
      <c r="E169" s="2">
        <v>1.0</v>
      </c>
      <c r="F169" s="2">
        <v>143.58</v>
      </c>
      <c r="G169" s="2">
        <v>143.58</v>
      </c>
      <c r="H169" s="2" t="s">
        <v>18</v>
      </c>
    </row>
    <row r="170">
      <c r="A170" s="2" t="s">
        <v>374</v>
      </c>
      <c r="B170" s="3">
        <v>45024.0</v>
      </c>
      <c r="C170" s="2" t="s">
        <v>375</v>
      </c>
      <c r="D170" s="2" t="s">
        <v>84</v>
      </c>
      <c r="E170" s="2">
        <v>2.0</v>
      </c>
      <c r="F170" s="2">
        <v>62.86</v>
      </c>
      <c r="G170" s="2">
        <v>125.72</v>
      </c>
      <c r="H170" s="2" t="s">
        <v>38</v>
      </c>
    </row>
    <row r="171">
      <c r="A171" s="2" t="s">
        <v>376</v>
      </c>
      <c r="B171" s="3">
        <v>45088.0</v>
      </c>
      <c r="C171" s="2" t="s">
        <v>294</v>
      </c>
      <c r="D171" s="2" t="s">
        <v>175</v>
      </c>
      <c r="E171" s="2">
        <v>8.0</v>
      </c>
      <c r="F171" s="2">
        <v>138.68</v>
      </c>
      <c r="G171" s="2">
        <v>1109.44</v>
      </c>
      <c r="H171" s="2" t="s">
        <v>38</v>
      </c>
    </row>
    <row r="172">
      <c r="A172" s="2" t="s">
        <v>377</v>
      </c>
      <c r="B172" s="3">
        <v>45167.0</v>
      </c>
      <c r="C172" s="2" t="s">
        <v>147</v>
      </c>
      <c r="D172" s="2" t="s">
        <v>28</v>
      </c>
      <c r="E172" s="2">
        <v>4.0</v>
      </c>
      <c r="F172" s="2">
        <v>187.26</v>
      </c>
      <c r="G172" s="2">
        <v>749.04</v>
      </c>
      <c r="H172" s="2" t="s">
        <v>11</v>
      </c>
    </row>
    <row r="173">
      <c r="A173" s="2" t="s">
        <v>378</v>
      </c>
      <c r="B173" s="3">
        <v>44672.0</v>
      </c>
      <c r="C173" s="2" t="s">
        <v>379</v>
      </c>
      <c r="D173" s="2" t="s">
        <v>160</v>
      </c>
      <c r="E173" s="2">
        <v>8.0</v>
      </c>
      <c r="F173" s="2">
        <v>43.15</v>
      </c>
      <c r="G173" s="2">
        <v>345.2</v>
      </c>
      <c r="H173" s="2" t="s">
        <v>18</v>
      </c>
    </row>
    <row r="174">
      <c r="A174" s="2" t="s">
        <v>380</v>
      </c>
      <c r="B174" s="3">
        <v>45929.0</v>
      </c>
      <c r="C174" s="2" t="s">
        <v>162</v>
      </c>
      <c r="D174" s="2" t="s">
        <v>28</v>
      </c>
      <c r="E174" s="2">
        <v>8.0</v>
      </c>
      <c r="F174" s="2">
        <v>187.26</v>
      </c>
      <c r="G174" s="2">
        <v>1498.08</v>
      </c>
      <c r="H174" s="2" t="s">
        <v>25</v>
      </c>
    </row>
    <row r="175">
      <c r="A175" s="2" t="s">
        <v>381</v>
      </c>
      <c r="B175" s="3">
        <v>45160.0</v>
      </c>
      <c r="C175" s="2" t="s">
        <v>382</v>
      </c>
      <c r="D175" s="2" t="s">
        <v>31</v>
      </c>
      <c r="E175" s="2">
        <v>10.0</v>
      </c>
      <c r="F175" s="2">
        <v>100.65</v>
      </c>
      <c r="G175" s="2">
        <v>1006.5</v>
      </c>
      <c r="H175" s="2" t="s">
        <v>11</v>
      </c>
    </row>
    <row r="176">
      <c r="A176" s="2" t="s">
        <v>383</v>
      </c>
      <c r="B176" s="3">
        <v>45095.0</v>
      </c>
      <c r="C176" s="2" t="s">
        <v>384</v>
      </c>
      <c r="D176" s="2" t="s">
        <v>126</v>
      </c>
      <c r="E176" s="2">
        <v>2.0</v>
      </c>
      <c r="F176" s="2">
        <v>161.48</v>
      </c>
      <c r="G176" s="2">
        <v>322.96</v>
      </c>
      <c r="H176" s="2" t="s">
        <v>38</v>
      </c>
    </row>
    <row r="177">
      <c r="A177" s="2" t="s">
        <v>385</v>
      </c>
      <c r="B177" s="3">
        <v>44750.0</v>
      </c>
      <c r="C177" s="2" t="s">
        <v>386</v>
      </c>
      <c r="D177" s="2" t="s">
        <v>100</v>
      </c>
      <c r="E177" s="2">
        <v>4.0</v>
      </c>
      <c r="F177" s="2">
        <v>114.21</v>
      </c>
      <c r="G177" s="2">
        <v>456.84</v>
      </c>
      <c r="H177" s="2" t="s">
        <v>11</v>
      </c>
    </row>
    <row r="178">
      <c r="A178" s="2" t="s">
        <v>387</v>
      </c>
      <c r="B178" s="3">
        <v>45918.0</v>
      </c>
      <c r="C178" s="2" t="s">
        <v>365</v>
      </c>
      <c r="D178" s="2" t="s">
        <v>68</v>
      </c>
      <c r="E178" s="2">
        <v>7.0</v>
      </c>
      <c r="F178" s="2">
        <v>59.18</v>
      </c>
      <c r="G178" s="2">
        <v>414.26</v>
      </c>
      <c r="H178" s="2" t="s">
        <v>25</v>
      </c>
    </row>
    <row r="179">
      <c r="A179" s="2" t="s">
        <v>388</v>
      </c>
      <c r="B179" s="3">
        <v>44900.0</v>
      </c>
      <c r="C179" s="2" t="s">
        <v>389</v>
      </c>
      <c r="D179" s="2" t="s">
        <v>247</v>
      </c>
      <c r="E179" s="2">
        <v>5.0</v>
      </c>
      <c r="F179" s="2">
        <v>174.29</v>
      </c>
      <c r="G179" s="2">
        <v>871.45</v>
      </c>
      <c r="H179" s="2" t="s">
        <v>18</v>
      </c>
    </row>
    <row r="180">
      <c r="A180" s="2" t="s">
        <v>390</v>
      </c>
      <c r="B180" s="3">
        <v>45742.0</v>
      </c>
      <c r="C180" s="2" t="s">
        <v>391</v>
      </c>
      <c r="D180" s="2" t="s">
        <v>73</v>
      </c>
      <c r="E180" s="2">
        <v>8.0</v>
      </c>
      <c r="F180" s="2">
        <v>82.34</v>
      </c>
      <c r="G180" s="2">
        <v>658.72</v>
      </c>
      <c r="H180" s="2" t="s">
        <v>11</v>
      </c>
    </row>
    <row r="181">
      <c r="A181" s="2" t="s">
        <v>392</v>
      </c>
      <c r="B181" s="3">
        <v>45666.0</v>
      </c>
      <c r="C181" s="2" t="s">
        <v>393</v>
      </c>
      <c r="D181" s="2" t="s">
        <v>37</v>
      </c>
      <c r="E181" s="2">
        <v>3.0</v>
      </c>
      <c r="F181" s="2">
        <v>156.45</v>
      </c>
      <c r="G181" s="2">
        <v>469.35</v>
      </c>
      <c r="H181" s="2" t="s">
        <v>18</v>
      </c>
    </row>
    <row r="182">
      <c r="A182" s="2" t="s">
        <v>394</v>
      </c>
      <c r="B182" s="3">
        <v>45322.0</v>
      </c>
      <c r="C182" s="2" t="s">
        <v>395</v>
      </c>
      <c r="D182" s="2" t="s">
        <v>14</v>
      </c>
      <c r="E182" s="2">
        <v>5.0</v>
      </c>
      <c r="F182" s="2">
        <v>75.41</v>
      </c>
      <c r="G182" s="2">
        <v>377.05</v>
      </c>
      <c r="H182" s="2" t="s">
        <v>38</v>
      </c>
    </row>
    <row r="183">
      <c r="A183" s="2" t="s">
        <v>396</v>
      </c>
      <c r="B183" s="3">
        <v>45111.0</v>
      </c>
      <c r="C183" s="2" t="s">
        <v>361</v>
      </c>
      <c r="D183" s="2" t="s">
        <v>92</v>
      </c>
      <c r="E183" s="2">
        <v>5.0</v>
      </c>
      <c r="F183" s="2">
        <v>37.05</v>
      </c>
      <c r="G183" s="2">
        <v>185.25</v>
      </c>
      <c r="H183" s="2" t="s">
        <v>18</v>
      </c>
    </row>
    <row r="184">
      <c r="A184" s="2" t="s">
        <v>397</v>
      </c>
      <c r="B184" s="3">
        <v>45607.0</v>
      </c>
      <c r="C184" s="2" t="s">
        <v>294</v>
      </c>
      <c r="D184" s="2" t="s">
        <v>17</v>
      </c>
      <c r="E184" s="2">
        <v>6.0</v>
      </c>
      <c r="F184" s="2">
        <v>115.76</v>
      </c>
      <c r="G184" s="2">
        <v>694.56</v>
      </c>
      <c r="H184" s="2" t="s">
        <v>11</v>
      </c>
    </row>
    <row r="185">
      <c r="A185" s="2" t="s">
        <v>398</v>
      </c>
      <c r="B185" s="3">
        <v>45355.0</v>
      </c>
      <c r="C185" s="2" t="s">
        <v>399</v>
      </c>
      <c r="D185" s="2" t="s">
        <v>68</v>
      </c>
      <c r="E185" s="2">
        <v>10.0</v>
      </c>
      <c r="F185" s="2">
        <v>59.18</v>
      </c>
      <c r="G185" s="2">
        <v>591.8</v>
      </c>
      <c r="H185" s="2" t="s">
        <v>38</v>
      </c>
    </row>
    <row r="186">
      <c r="A186" s="2" t="s">
        <v>400</v>
      </c>
      <c r="B186" s="3">
        <v>46070.0</v>
      </c>
      <c r="C186" s="2" t="s">
        <v>401</v>
      </c>
      <c r="D186" s="2" t="s">
        <v>191</v>
      </c>
      <c r="E186" s="2">
        <v>10.0</v>
      </c>
      <c r="F186" s="2">
        <v>70.71</v>
      </c>
      <c r="G186" s="2">
        <v>707.1</v>
      </c>
      <c r="H186" s="2" t="s">
        <v>38</v>
      </c>
    </row>
    <row r="187">
      <c r="A187" s="2" t="s">
        <v>402</v>
      </c>
      <c r="B187" s="3">
        <v>44608.0</v>
      </c>
      <c r="C187" s="2" t="s">
        <v>403</v>
      </c>
      <c r="D187" s="2" t="s">
        <v>21</v>
      </c>
      <c r="E187" s="2">
        <v>8.0</v>
      </c>
      <c r="F187" s="2">
        <v>144.69</v>
      </c>
      <c r="G187" s="2">
        <v>1157.52</v>
      </c>
      <c r="H187" s="2" t="s">
        <v>25</v>
      </c>
    </row>
    <row r="188">
      <c r="A188" s="2" t="s">
        <v>404</v>
      </c>
      <c r="B188" s="3">
        <v>45945.0</v>
      </c>
      <c r="C188" s="2" t="s">
        <v>405</v>
      </c>
      <c r="D188" s="2" t="s">
        <v>37</v>
      </c>
      <c r="E188" s="2">
        <v>6.0</v>
      </c>
      <c r="F188" s="2">
        <v>156.45</v>
      </c>
      <c r="G188" s="2">
        <v>938.7</v>
      </c>
      <c r="H188" s="2" t="s">
        <v>38</v>
      </c>
    </row>
    <row r="189">
      <c r="A189" s="2" t="s">
        <v>406</v>
      </c>
      <c r="B189" s="3">
        <v>44679.0</v>
      </c>
      <c r="C189" s="2" t="s">
        <v>314</v>
      </c>
      <c r="D189" s="2" t="s">
        <v>14</v>
      </c>
      <c r="E189" s="2">
        <v>6.0</v>
      </c>
      <c r="F189" s="2">
        <v>75.41</v>
      </c>
      <c r="G189" s="2">
        <v>452.46</v>
      </c>
      <c r="H189" s="2" t="s">
        <v>38</v>
      </c>
    </row>
    <row r="190">
      <c r="A190" s="2" t="s">
        <v>407</v>
      </c>
      <c r="B190" s="3">
        <v>45324.0</v>
      </c>
      <c r="C190" s="2" t="s">
        <v>263</v>
      </c>
      <c r="D190" s="2" t="s">
        <v>82</v>
      </c>
      <c r="E190" s="2">
        <v>7.0</v>
      </c>
      <c r="F190" s="2">
        <v>190.65</v>
      </c>
      <c r="G190" s="2">
        <v>1334.55</v>
      </c>
      <c r="H190" s="2" t="s">
        <v>11</v>
      </c>
    </row>
    <row r="191">
      <c r="A191" s="2" t="s">
        <v>408</v>
      </c>
      <c r="B191" s="3">
        <v>45601.0</v>
      </c>
      <c r="C191" s="2" t="s">
        <v>239</v>
      </c>
      <c r="D191" s="2" t="s">
        <v>223</v>
      </c>
      <c r="E191" s="2">
        <v>2.0</v>
      </c>
      <c r="F191" s="2">
        <v>170.73</v>
      </c>
      <c r="G191" s="2">
        <v>341.46</v>
      </c>
      <c r="H191" s="2" t="s">
        <v>38</v>
      </c>
    </row>
    <row r="192">
      <c r="A192" s="2" t="s">
        <v>409</v>
      </c>
      <c r="B192" s="3">
        <v>45257.0</v>
      </c>
      <c r="C192" s="2" t="s">
        <v>157</v>
      </c>
      <c r="D192" s="2" t="s">
        <v>191</v>
      </c>
      <c r="E192" s="2">
        <v>2.0</v>
      </c>
      <c r="F192" s="2">
        <v>70.71</v>
      </c>
      <c r="G192" s="2">
        <v>141.42</v>
      </c>
      <c r="H192" s="2" t="s">
        <v>25</v>
      </c>
    </row>
    <row r="193">
      <c r="A193" s="2" t="s">
        <v>410</v>
      </c>
      <c r="B193" s="3">
        <v>44974.0</v>
      </c>
      <c r="C193" s="2" t="s">
        <v>411</v>
      </c>
      <c r="D193" s="2" t="s">
        <v>28</v>
      </c>
      <c r="E193" s="2">
        <v>7.0</v>
      </c>
      <c r="F193" s="2">
        <v>187.26</v>
      </c>
      <c r="G193" s="2">
        <v>1310.82</v>
      </c>
      <c r="H193" s="2" t="s">
        <v>38</v>
      </c>
    </row>
    <row r="194">
      <c r="A194" s="2" t="s">
        <v>412</v>
      </c>
      <c r="B194" s="3">
        <v>45630.0</v>
      </c>
      <c r="C194" s="2" t="s">
        <v>413</v>
      </c>
      <c r="D194" s="2" t="s">
        <v>110</v>
      </c>
      <c r="E194" s="2">
        <v>10.0</v>
      </c>
      <c r="F194" s="2">
        <v>74.83</v>
      </c>
      <c r="G194" s="2">
        <v>748.3</v>
      </c>
      <c r="H194" s="2" t="s">
        <v>11</v>
      </c>
    </row>
    <row r="195">
      <c r="A195" s="2" t="s">
        <v>414</v>
      </c>
      <c r="B195" s="3">
        <v>45222.0</v>
      </c>
      <c r="C195" s="2" t="s">
        <v>166</v>
      </c>
      <c r="D195" s="2" t="s">
        <v>170</v>
      </c>
      <c r="E195" s="2">
        <v>2.0</v>
      </c>
      <c r="F195" s="2">
        <v>146.68</v>
      </c>
      <c r="G195" s="2">
        <v>293.36</v>
      </c>
      <c r="H195" s="2" t="s">
        <v>25</v>
      </c>
    </row>
    <row r="196">
      <c r="A196" s="2" t="s">
        <v>415</v>
      </c>
      <c r="B196" s="3">
        <v>45027.0</v>
      </c>
      <c r="C196" s="2" t="s">
        <v>416</v>
      </c>
      <c r="D196" s="2" t="s">
        <v>24</v>
      </c>
      <c r="E196" s="2">
        <v>10.0</v>
      </c>
      <c r="F196" s="2">
        <v>90.5</v>
      </c>
      <c r="G196" s="2">
        <v>905.0</v>
      </c>
      <c r="H196" s="2" t="s">
        <v>18</v>
      </c>
    </row>
    <row r="197">
      <c r="A197" s="2" t="s">
        <v>417</v>
      </c>
      <c r="B197" s="3">
        <v>45031.0</v>
      </c>
      <c r="C197" s="2" t="s">
        <v>418</v>
      </c>
      <c r="D197" s="2" t="s">
        <v>202</v>
      </c>
      <c r="E197" s="2">
        <v>3.0</v>
      </c>
      <c r="F197" s="2">
        <v>159.7</v>
      </c>
      <c r="G197" s="2">
        <v>479.1</v>
      </c>
      <c r="H197" s="2" t="s">
        <v>18</v>
      </c>
    </row>
    <row r="198">
      <c r="A198" s="2" t="s">
        <v>419</v>
      </c>
      <c r="B198" s="3">
        <v>45263.0</v>
      </c>
      <c r="C198" s="2" t="s">
        <v>420</v>
      </c>
      <c r="D198" s="2" t="s">
        <v>155</v>
      </c>
      <c r="E198" s="2">
        <v>10.0</v>
      </c>
      <c r="F198" s="2">
        <v>109.31</v>
      </c>
      <c r="G198" s="2">
        <v>1093.1</v>
      </c>
      <c r="H198" s="2" t="s">
        <v>38</v>
      </c>
    </row>
    <row r="199">
      <c r="A199" s="2" t="s">
        <v>421</v>
      </c>
      <c r="B199" s="3">
        <v>45610.0</v>
      </c>
      <c r="C199" s="2" t="s">
        <v>422</v>
      </c>
      <c r="D199" s="2" t="s">
        <v>59</v>
      </c>
      <c r="E199" s="2">
        <v>2.0</v>
      </c>
      <c r="F199" s="2">
        <v>161.81</v>
      </c>
      <c r="G199" s="2">
        <v>323.62</v>
      </c>
      <c r="H199" s="2" t="s">
        <v>18</v>
      </c>
    </row>
    <row r="200">
      <c r="A200" s="2" t="s">
        <v>423</v>
      </c>
      <c r="B200" s="3">
        <v>44965.0</v>
      </c>
      <c r="C200" s="2" t="s">
        <v>424</v>
      </c>
      <c r="D200" s="2" t="s">
        <v>105</v>
      </c>
      <c r="E200" s="2">
        <v>4.0</v>
      </c>
      <c r="F200" s="2">
        <v>128.23</v>
      </c>
      <c r="G200" s="2">
        <v>512.92</v>
      </c>
      <c r="H200" s="2" t="s">
        <v>38</v>
      </c>
    </row>
    <row r="201">
      <c r="A201" s="2" t="s">
        <v>425</v>
      </c>
      <c r="B201" s="3">
        <v>45426.0</v>
      </c>
      <c r="C201" s="2" t="s">
        <v>354</v>
      </c>
      <c r="D201" s="2" t="s">
        <v>73</v>
      </c>
      <c r="E201" s="2">
        <v>1.0</v>
      </c>
      <c r="F201" s="2">
        <v>82.34</v>
      </c>
      <c r="G201" s="2">
        <v>82.34</v>
      </c>
      <c r="H201" s="2" t="s">
        <v>18</v>
      </c>
    </row>
    <row r="202">
      <c r="A202" s="2" t="s">
        <v>426</v>
      </c>
      <c r="B202" s="3">
        <v>45150.0</v>
      </c>
      <c r="C202" s="2" t="s">
        <v>196</v>
      </c>
      <c r="D202" s="2" t="s">
        <v>24</v>
      </c>
      <c r="E202" s="2">
        <v>4.0</v>
      </c>
      <c r="F202" s="2">
        <v>90.5</v>
      </c>
      <c r="G202" s="2">
        <v>362.0</v>
      </c>
      <c r="H202" s="2" t="s">
        <v>11</v>
      </c>
    </row>
    <row r="203">
      <c r="A203" s="2" t="s">
        <v>427</v>
      </c>
      <c r="B203" s="3">
        <v>44887.0</v>
      </c>
      <c r="C203" s="2" t="s">
        <v>9</v>
      </c>
      <c r="D203" s="2" t="s">
        <v>148</v>
      </c>
      <c r="E203" s="2">
        <v>2.0</v>
      </c>
      <c r="F203" s="2">
        <v>44.18</v>
      </c>
      <c r="G203" s="2">
        <v>88.36</v>
      </c>
      <c r="H203" s="2" t="s">
        <v>38</v>
      </c>
    </row>
    <row r="204">
      <c r="A204" s="2" t="s">
        <v>428</v>
      </c>
      <c r="B204" s="3">
        <v>44609.0</v>
      </c>
      <c r="C204" s="2" t="s">
        <v>233</v>
      </c>
      <c r="D204" s="2" t="s">
        <v>138</v>
      </c>
      <c r="E204" s="2">
        <v>6.0</v>
      </c>
      <c r="F204" s="2">
        <v>193.29</v>
      </c>
      <c r="G204" s="2">
        <v>1159.74</v>
      </c>
      <c r="H204" s="2" t="s">
        <v>25</v>
      </c>
    </row>
    <row r="205">
      <c r="A205" s="2" t="s">
        <v>429</v>
      </c>
      <c r="B205" s="3">
        <v>45227.0</v>
      </c>
      <c r="C205" s="2" t="s">
        <v>430</v>
      </c>
      <c r="D205" s="2" t="s">
        <v>37</v>
      </c>
      <c r="E205" s="2">
        <v>5.0</v>
      </c>
      <c r="F205" s="2">
        <v>156.45</v>
      </c>
      <c r="G205" s="2">
        <v>782.25</v>
      </c>
      <c r="H205" s="2" t="s">
        <v>18</v>
      </c>
    </row>
    <row r="206">
      <c r="A206" s="2" t="s">
        <v>431</v>
      </c>
      <c r="B206" s="3">
        <v>45766.0</v>
      </c>
      <c r="C206" s="2" t="s">
        <v>61</v>
      </c>
      <c r="D206" s="2" t="s">
        <v>247</v>
      </c>
      <c r="E206" s="2">
        <v>9.0</v>
      </c>
      <c r="F206" s="2">
        <v>174.29</v>
      </c>
      <c r="G206" s="2">
        <v>1568.61</v>
      </c>
      <c r="H206" s="2" t="s">
        <v>18</v>
      </c>
    </row>
    <row r="207">
      <c r="A207" s="2" t="s">
        <v>432</v>
      </c>
      <c r="B207" s="3">
        <v>45763.0</v>
      </c>
      <c r="C207" s="2" t="s">
        <v>433</v>
      </c>
      <c r="D207" s="2" t="s">
        <v>21</v>
      </c>
      <c r="E207" s="2">
        <v>4.0</v>
      </c>
      <c r="F207" s="2">
        <v>144.69</v>
      </c>
      <c r="G207" s="2">
        <v>578.76</v>
      </c>
      <c r="H207" s="2" t="s">
        <v>38</v>
      </c>
    </row>
    <row r="208">
      <c r="A208" s="2" t="s">
        <v>434</v>
      </c>
      <c r="B208" s="3">
        <v>44641.0</v>
      </c>
      <c r="C208" s="2" t="s">
        <v>143</v>
      </c>
      <c r="D208" s="2" t="s">
        <v>133</v>
      </c>
      <c r="E208" s="2">
        <v>5.0</v>
      </c>
      <c r="F208" s="2">
        <v>143.58</v>
      </c>
      <c r="G208" s="2">
        <v>717.9</v>
      </c>
      <c r="H208" s="2" t="s">
        <v>18</v>
      </c>
    </row>
    <row r="209">
      <c r="A209" s="2" t="s">
        <v>435</v>
      </c>
      <c r="B209" s="3">
        <v>45537.0</v>
      </c>
      <c r="C209" s="2" t="s">
        <v>436</v>
      </c>
      <c r="D209" s="2" t="s">
        <v>44</v>
      </c>
      <c r="E209" s="2">
        <v>4.0</v>
      </c>
      <c r="F209" s="2">
        <v>160.49</v>
      </c>
      <c r="G209" s="2">
        <v>641.96</v>
      </c>
      <c r="H209" s="2" t="s">
        <v>11</v>
      </c>
    </row>
    <row r="210">
      <c r="A210" s="2" t="s">
        <v>437</v>
      </c>
      <c r="B210" s="3">
        <v>45026.0</v>
      </c>
      <c r="C210" s="2" t="s">
        <v>438</v>
      </c>
      <c r="D210" s="2" t="s">
        <v>34</v>
      </c>
      <c r="E210" s="2">
        <v>1.0</v>
      </c>
      <c r="F210" s="2">
        <v>65.45</v>
      </c>
      <c r="G210" s="2">
        <v>65.45</v>
      </c>
      <c r="H210" s="2" t="s">
        <v>25</v>
      </c>
    </row>
    <row r="211">
      <c r="A211" s="2" t="s">
        <v>439</v>
      </c>
      <c r="B211" s="3">
        <v>45139.0</v>
      </c>
      <c r="C211" s="2" t="s">
        <v>440</v>
      </c>
      <c r="D211" s="2" t="s">
        <v>59</v>
      </c>
      <c r="E211" s="2">
        <v>6.0</v>
      </c>
      <c r="F211" s="2">
        <v>161.81</v>
      </c>
      <c r="G211" s="2">
        <v>970.86</v>
      </c>
      <c r="H211" s="2" t="s">
        <v>25</v>
      </c>
    </row>
    <row r="212">
      <c r="A212" s="2" t="s">
        <v>441</v>
      </c>
      <c r="B212" s="3">
        <v>46010.0</v>
      </c>
      <c r="C212" s="2" t="s">
        <v>331</v>
      </c>
      <c r="D212" s="2" t="s">
        <v>340</v>
      </c>
      <c r="E212" s="2">
        <v>6.0</v>
      </c>
      <c r="F212" s="2">
        <v>140.72</v>
      </c>
      <c r="G212" s="2">
        <v>844.32</v>
      </c>
      <c r="H212" s="2" t="s">
        <v>25</v>
      </c>
    </row>
    <row r="213">
      <c r="A213" s="2" t="s">
        <v>442</v>
      </c>
      <c r="B213" s="3">
        <v>44572.0</v>
      </c>
      <c r="C213" s="2" t="s">
        <v>443</v>
      </c>
      <c r="D213" s="2" t="s">
        <v>175</v>
      </c>
      <c r="E213" s="2">
        <v>7.0</v>
      </c>
      <c r="F213" s="2">
        <v>138.68</v>
      </c>
      <c r="G213" s="2">
        <v>970.76</v>
      </c>
      <c r="H213" s="2" t="s">
        <v>25</v>
      </c>
    </row>
    <row r="214">
      <c r="A214" s="2" t="s">
        <v>444</v>
      </c>
      <c r="B214" s="3">
        <v>45226.0</v>
      </c>
      <c r="C214" s="2" t="s">
        <v>117</v>
      </c>
      <c r="D214" s="2" t="s">
        <v>184</v>
      </c>
      <c r="E214" s="2">
        <v>2.0</v>
      </c>
      <c r="F214" s="2">
        <v>152.99</v>
      </c>
      <c r="G214" s="2">
        <v>305.98</v>
      </c>
      <c r="H214" s="2" t="s">
        <v>18</v>
      </c>
    </row>
    <row r="215">
      <c r="A215" s="2" t="s">
        <v>445</v>
      </c>
      <c r="B215" s="3">
        <v>44893.0</v>
      </c>
      <c r="C215" s="2" t="s">
        <v>446</v>
      </c>
      <c r="D215" s="2" t="s">
        <v>447</v>
      </c>
      <c r="E215" s="2">
        <v>9.0</v>
      </c>
      <c r="F215" s="2">
        <v>143.99</v>
      </c>
      <c r="G215" s="2">
        <v>1295.91</v>
      </c>
      <c r="H215" s="2" t="s">
        <v>25</v>
      </c>
    </row>
    <row r="216">
      <c r="A216" s="2" t="s">
        <v>448</v>
      </c>
      <c r="B216" s="3">
        <v>44782.0</v>
      </c>
      <c r="C216" s="2" t="s">
        <v>449</v>
      </c>
      <c r="D216" s="2" t="s">
        <v>47</v>
      </c>
      <c r="E216" s="2">
        <v>8.0</v>
      </c>
      <c r="F216" s="2">
        <v>104.81</v>
      </c>
      <c r="G216" s="2">
        <v>838.48</v>
      </c>
      <c r="H216" s="2" t="s">
        <v>18</v>
      </c>
    </row>
    <row r="217">
      <c r="A217" s="2" t="s">
        <v>450</v>
      </c>
      <c r="B217" s="3">
        <v>44649.0</v>
      </c>
      <c r="C217" s="2" t="s">
        <v>451</v>
      </c>
      <c r="D217" s="2" t="s">
        <v>167</v>
      </c>
      <c r="E217" s="2">
        <v>10.0</v>
      </c>
      <c r="F217" s="2">
        <v>94.59</v>
      </c>
      <c r="G217" s="2">
        <v>945.9</v>
      </c>
      <c r="H217" s="2" t="s">
        <v>38</v>
      </c>
    </row>
    <row r="218">
      <c r="A218" s="2" t="s">
        <v>452</v>
      </c>
      <c r="B218" s="3">
        <v>45668.0</v>
      </c>
      <c r="C218" s="2" t="s">
        <v>117</v>
      </c>
      <c r="D218" s="2" t="s">
        <v>28</v>
      </c>
      <c r="E218" s="2">
        <v>5.0</v>
      </c>
      <c r="F218" s="2">
        <v>187.26</v>
      </c>
      <c r="G218" s="2">
        <v>936.3</v>
      </c>
      <c r="H218" s="2" t="s">
        <v>38</v>
      </c>
    </row>
    <row r="219">
      <c r="A219" s="2" t="s">
        <v>453</v>
      </c>
      <c r="B219" s="3">
        <v>45090.0</v>
      </c>
      <c r="C219" s="2" t="s">
        <v>454</v>
      </c>
      <c r="D219" s="2" t="s">
        <v>47</v>
      </c>
      <c r="E219" s="2">
        <v>8.0</v>
      </c>
      <c r="F219" s="2">
        <v>104.81</v>
      </c>
      <c r="G219" s="2">
        <v>838.48</v>
      </c>
      <c r="H219" s="2" t="s">
        <v>25</v>
      </c>
    </row>
    <row r="220">
      <c r="A220" s="2" t="s">
        <v>455</v>
      </c>
      <c r="B220" s="3">
        <v>45981.0</v>
      </c>
      <c r="C220" s="2" t="s">
        <v>456</v>
      </c>
      <c r="D220" s="2" t="s">
        <v>118</v>
      </c>
      <c r="E220" s="2">
        <v>8.0</v>
      </c>
      <c r="F220" s="2">
        <v>131.34</v>
      </c>
      <c r="G220" s="2">
        <v>1050.72</v>
      </c>
      <c r="H220" s="2" t="s">
        <v>25</v>
      </c>
    </row>
    <row r="221">
      <c r="A221" s="2" t="s">
        <v>457</v>
      </c>
      <c r="B221" s="3">
        <v>44598.0</v>
      </c>
      <c r="C221" s="2" t="s">
        <v>458</v>
      </c>
      <c r="D221" s="2" t="s">
        <v>47</v>
      </c>
      <c r="E221" s="2">
        <v>7.0</v>
      </c>
      <c r="F221" s="2">
        <v>104.81</v>
      </c>
      <c r="G221" s="2">
        <v>733.67</v>
      </c>
      <c r="H221" s="2" t="s">
        <v>25</v>
      </c>
    </row>
    <row r="222">
      <c r="A222" s="2" t="s">
        <v>459</v>
      </c>
      <c r="B222" s="3">
        <v>45197.0</v>
      </c>
      <c r="C222" s="2" t="s">
        <v>460</v>
      </c>
      <c r="D222" s="2" t="s">
        <v>84</v>
      </c>
      <c r="E222" s="2">
        <v>4.0</v>
      </c>
      <c r="F222" s="2">
        <v>62.86</v>
      </c>
      <c r="G222" s="2">
        <v>251.44</v>
      </c>
      <c r="H222" s="2" t="s">
        <v>38</v>
      </c>
    </row>
    <row r="223">
      <c r="A223" s="2" t="s">
        <v>461</v>
      </c>
      <c r="B223" s="3">
        <v>44934.0</v>
      </c>
      <c r="C223" s="2" t="s">
        <v>462</v>
      </c>
      <c r="D223" s="2" t="s">
        <v>59</v>
      </c>
      <c r="E223" s="2">
        <v>3.0</v>
      </c>
      <c r="F223" s="2">
        <v>161.81</v>
      </c>
      <c r="G223" s="2">
        <v>485.43</v>
      </c>
      <c r="H223" s="2" t="s">
        <v>25</v>
      </c>
    </row>
    <row r="224">
      <c r="A224" s="2" t="s">
        <v>463</v>
      </c>
      <c r="B224" s="3">
        <v>44730.0</v>
      </c>
      <c r="C224" s="2" t="s">
        <v>464</v>
      </c>
      <c r="D224" s="2" t="s">
        <v>105</v>
      </c>
      <c r="E224" s="2">
        <v>1.0</v>
      </c>
      <c r="F224" s="2">
        <v>128.23</v>
      </c>
      <c r="G224" s="2">
        <v>128.23</v>
      </c>
      <c r="H224" s="2" t="s">
        <v>18</v>
      </c>
    </row>
    <row r="225">
      <c r="A225" s="2" t="s">
        <v>465</v>
      </c>
      <c r="B225" s="3">
        <v>44762.0</v>
      </c>
      <c r="C225" s="2" t="s">
        <v>466</v>
      </c>
      <c r="D225" s="2" t="s">
        <v>133</v>
      </c>
      <c r="E225" s="2">
        <v>5.0</v>
      </c>
      <c r="F225" s="2">
        <v>143.58</v>
      </c>
      <c r="G225" s="2">
        <v>717.9</v>
      </c>
      <c r="H225" s="2" t="s">
        <v>18</v>
      </c>
    </row>
    <row r="226">
      <c r="A226" s="2" t="s">
        <v>467</v>
      </c>
      <c r="B226" s="3">
        <v>44628.0</v>
      </c>
      <c r="C226" s="2" t="s">
        <v>468</v>
      </c>
      <c r="D226" s="2" t="s">
        <v>79</v>
      </c>
      <c r="E226" s="2">
        <v>2.0</v>
      </c>
      <c r="F226" s="2">
        <v>183.75</v>
      </c>
      <c r="G226" s="2">
        <v>367.5</v>
      </c>
      <c r="H226" s="2" t="s">
        <v>25</v>
      </c>
    </row>
    <row r="227">
      <c r="A227" s="2" t="s">
        <v>469</v>
      </c>
      <c r="B227" s="3">
        <v>45814.0</v>
      </c>
      <c r="C227" s="2" t="s">
        <v>470</v>
      </c>
      <c r="D227" s="2" t="s">
        <v>471</v>
      </c>
      <c r="E227" s="2">
        <v>5.0</v>
      </c>
      <c r="F227" s="2">
        <v>122.33</v>
      </c>
      <c r="G227" s="2">
        <v>611.65</v>
      </c>
      <c r="H227" s="2" t="s">
        <v>11</v>
      </c>
    </row>
    <row r="228">
      <c r="A228" s="2" t="s">
        <v>472</v>
      </c>
      <c r="B228" s="3">
        <v>45057.0</v>
      </c>
      <c r="C228" s="2" t="s">
        <v>473</v>
      </c>
      <c r="D228" s="2" t="s">
        <v>82</v>
      </c>
      <c r="E228" s="2">
        <v>7.0</v>
      </c>
      <c r="F228" s="2">
        <v>190.65</v>
      </c>
      <c r="G228" s="2">
        <v>1334.55</v>
      </c>
      <c r="H228" s="2" t="s">
        <v>18</v>
      </c>
    </row>
    <row r="229">
      <c r="A229" s="2" t="s">
        <v>474</v>
      </c>
      <c r="B229" s="3">
        <v>45781.0</v>
      </c>
      <c r="C229" s="2" t="s">
        <v>310</v>
      </c>
      <c r="D229" s="2" t="s">
        <v>175</v>
      </c>
      <c r="E229" s="2">
        <v>3.0</v>
      </c>
      <c r="F229" s="2">
        <v>138.68</v>
      </c>
      <c r="G229" s="2">
        <v>416.04</v>
      </c>
      <c r="H229" s="2" t="s">
        <v>38</v>
      </c>
    </row>
    <row r="230">
      <c r="A230" s="2" t="s">
        <v>475</v>
      </c>
      <c r="B230" s="3">
        <v>45136.0</v>
      </c>
      <c r="C230" s="2" t="s">
        <v>476</v>
      </c>
      <c r="D230" s="2" t="s">
        <v>277</v>
      </c>
      <c r="E230" s="2">
        <v>3.0</v>
      </c>
      <c r="F230" s="2">
        <v>35.91</v>
      </c>
      <c r="G230" s="2">
        <v>107.73</v>
      </c>
      <c r="H230" s="2" t="s">
        <v>18</v>
      </c>
    </row>
    <row r="231">
      <c r="A231" s="2" t="s">
        <v>477</v>
      </c>
      <c r="B231" s="3">
        <v>45230.0</v>
      </c>
      <c r="C231" s="2" t="s">
        <v>478</v>
      </c>
      <c r="D231" s="2" t="s">
        <v>471</v>
      </c>
      <c r="E231" s="2">
        <v>5.0</v>
      </c>
      <c r="F231" s="2">
        <v>122.33</v>
      </c>
      <c r="G231" s="2">
        <v>611.65</v>
      </c>
      <c r="H231" s="2" t="s">
        <v>18</v>
      </c>
    </row>
    <row r="232">
      <c r="A232" s="2" t="s">
        <v>479</v>
      </c>
      <c r="B232" s="3">
        <v>45871.0</v>
      </c>
      <c r="C232" s="2" t="s">
        <v>372</v>
      </c>
      <c r="D232" s="2" t="s">
        <v>92</v>
      </c>
      <c r="E232" s="2">
        <v>3.0</v>
      </c>
      <c r="F232" s="2">
        <v>37.05</v>
      </c>
      <c r="G232" s="2">
        <v>111.15</v>
      </c>
      <c r="H232" s="2" t="s">
        <v>11</v>
      </c>
    </row>
    <row r="233">
      <c r="A233" s="2" t="s">
        <v>480</v>
      </c>
      <c r="B233" s="3">
        <v>45338.0</v>
      </c>
      <c r="C233" s="2" t="s">
        <v>481</v>
      </c>
      <c r="D233" s="2" t="s">
        <v>28</v>
      </c>
      <c r="E233" s="2">
        <v>3.0</v>
      </c>
      <c r="F233" s="2">
        <v>187.26</v>
      </c>
      <c r="G233" s="2">
        <v>561.78</v>
      </c>
      <c r="H233" s="2" t="s">
        <v>38</v>
      </c>
    </row>
    <row r="234">
      <c r="A234" s="2" t="s">
        <v>482</v>
      </c>
      <c r="B234" s="3">
        <v>45041.0</v>
      </c>
      <c r="C234" s="2" t="s">
        <v>483</v>
      </c>
      <c r="D234" s="2" t="s">
        <v>138</v>
      </c>
      <c r="E234" s="2">
        <v>8.0</v>
      </c>
      <c r="F234" s="2">
        <v>193.29</v>
      </c>
      <c r="G234" s="2">
        <v>1546.32</v>
      </c>
      <c r="H234" s="2" t="s">
        <v>18</v>
      </c>
    </row>
    <row r="235">
      <c r="A235" s="2" t="s">
        <v>484</v>
      </c>
      <c r="B235" s="3">
        <v>44834.0</v>
      </c>
      <c r="C235" s="2" t="s">
        <v>485</v>
      </c>
      <c r="D235" s="2" t="s">
        <v>28</v>
      </c>
      <c r="E235" s="2">
        <v>8.0</v>
      </c>
      <c r="F235" s="2">
        <v>187.26</v>
      </c>
      <c r="G235" s="2">
        <v>1498.08</v>
      </c>
      <c r="H235" s="2" t="s">
        <v>18</v>
      </c>
    </row>
    <row r="236">
      <c r="A236" s="2" t="s">
        <v>486</v>
      </c>
      <c r="B236" s="3">
        <v>45097.0</v>
      </c>
      <c r="C236" s="2" t="s">
        <v>487</v>
      </c>
      <c r="D236" s="2" t="s">
        <v>100</v>
      </c>
      <c r="E236" s="2">
        <v>5.0</v>
      </c>
      <c r="F236" s="2">
        <v>114.21</v>
      </c>
      <c r="G236" s="2">
        <v>571.05</v>
      </c>
      <c r="H236" s="2" t="s">
        <v>11</v>
      </c>
    </row>
    <row r="237">
      <c r="A237" s="2" t="s">
        <v>488</v>
      </c>
      <c r="B237" s="3">
        <v>45880.0</v>
      </c>
      <c r="C237" s="2" t="s">
        <v>489</v>
      </c>
      <c r="D237" s="2" t="s">
        <v>118</v>
      </c>
      <c r="E237" s="2">
        <v>2.0</v>
      </c>
      <c r="F237" s="2">
        <v>131.34</v>
      </c>
      <c r="G237" s="2">
        <v>262.68</v>
      </c>
      <c r="H237" s="2" t="s">
        <v>11</v>
      </c>
    </row>
    <row r="238">
      <c r="A238" s="2" t="s">
        <v>490</v>
      </c>
      <c r="B238" s="3">
        <v>45781.0</v>
      </c>
      <c r="C238" s="2" t="s">
        <v>491</v>
      </c>
      <c r="D238" s="2" t="s">
        <v>167</v>
      </c>
      <c r="E238" s="2">
        <v>2.0</v>
      </c>
      <c r="F238" s="2">
        <v>94.59</v>
      </c>
      <c r="G238" s="2">
        <v>189.18</v>
      </c>
      <c r="H238" s="2" t="s">
        <v>25</v>
      </c>
    </row>
    <row r="239">
      <c r="A239" s="2" t="s">
        <v>492</v>
      </c>
      <c r="B239" s="3">
        <v>45876.0</v>
      </c>
      <c r="C239" s="2" t="s">
        <v>493</v>
      </c>
      <c r="D239" s="2" t="s">
        <v>28</v>
      </c>
      <c r="E239" s="2">
        <v>9.0</v>
      </c>
      <c r="F239" s="2">
        <v>187.26</v>
      </c>
      <c r="G239" s="2">
        <v>1685.34</v>
      </c>
      <c r="H239" s="2" t="s">
        <v>25</v>
      </c>
    </row>
    <row r="240">
      <c r="A240" s="2" t="s">
        <v>494</v>
      </c>
      <c r="B240" s="3">
        <v>45330.0</v>
      </c>
      <c r="C240" s="2" t="s">
        <v>495</v>
      </c>
      <c r="D240" s="2" t="s">
        <v>471</v>
      </c>
      <c r="E240" s="2">
        <v>10.0</v>
      </c>
      <c r="F240" s="2">
        <v>122.33</v>
      </c>
      <c r="G240" s="2">
        <v>1223.3</v>
      </c>
      <c r="H240" s="2" t="s">
        <v>38</v>
      </c>
    </row>
    <row r="241">
      <c r="A241" s="2" t="s">
        <v>496</v>
      </c>
      <c r="B241" s="3">
        <v>45623.0</v>
      </c>
      <c r="C241" s="2" t="s">
        <v>72</v>
      </c>
      <c r="D241" s="2" t="s">
        <v>59</v>
      </c>
      <c r="E241" s="2">
        <v>1.0</v>
      </c>
      <c r="F241" s="2">
        <v>161.81</v>
      </c>
      <c r="G241" s="2">
        <v>161.81</v>
      </c>
      <c r="H241" s="2" t="s">
        <v>18</v>
      </c>
    </row>
    <row r="242">
      <c r="A242" s="2" t="s">
        <v>497</v>
      </c>
      <c r="B242" s="3">
        <v>45499.0</v>
      </c>
      <c r="C242" s="2" t="s">
        <v>498</v>
      </c>
      <c r="D242" s="2" t="s">
        <v>28</v>
      </c>
      <c r="E242" s="2">
        <v>3.0</v>
      </c>
      <c r="F242" s="2">
        <v>187.26</v>
      </c>
      <c r="G242" s="2">
        <v>561.78</v>
      </c>
      <c r="H242" s="2" t="s">
        <v>11</v>
      </c>
    </row>
    <row r="243">
      <c r="A243" s="2" t="s">
        <v>499</v>
      </c>
      <c r="B243" s="3">
        <v>46020.0</v>
      </c>
      <c r="C243" s="2" t="s">
        <v>500</v>
      </c>
      <c r="D243" s="2" t="s">
        <v>471</v>
      </c>
      <c r="E243" s="2">
        <v>1.0</v>
      </c>
      <c r="F243" s="2">
        <v>122.33</v>
      </c>
      <c r="G243" s="2">
        <v>122.33</v>
      </c>
      <c r="H243" s="2" t="s">
        <v>11</v>
      </c>
    </row>
    <row r="244">
      <c r="A244" s="2" t="s">
        <v>501</v>
      </c>
      <c r="B244" s="3">
        <v>45475.0</v>
      </c>
      <c r="C244" s="2" t="s">
        <v>231</v>
      </c>
      <c r="D244" s="2" t="s">
        <v>155</v>
      </c>
      <c r="E244" s="2">
        <v>9.0</v>
      </c>
      <c r="F244" s="2">
        <v>109.31</v>
      </c>
      <c r="G244" s="2">
        <v>983.79</v>
      </c>
      <c r="H244" s="2" t="s">
        <v>11</v>
      </c>
    </row>
    <row r="245">
      <c r="A245" s="2" t="s">
        <v>502</v>
      </c>
      <c r="B245" s="3">
        <v>44909.0</v>
      </c>
      <c r="C245" s="2" t="s">
        <v>503</v>
      </c>
      <c r="D245" s="2" t="s">
        <v>52</v>
      </c>
      <c r="E245" s="2">
        <v>1.0</v>
      </c>
      <c r="F245" s="2">
        <v>133.47</v>
      </c>
      <c r="G245" s="2">
        <v>133.47</v>
      </c>
      <c r="H245" s="2" t="s">
        <v>25</v>
      </c>
    </row>
    <row r="246">
      <c r="A246" s="2" t="s">
        <v>504</v>
      </c>
      <c r="B246" s="3">
        <v>45024.0</v>
      </c>
      <c r="C246" s="2" t="s">
        <v>505</v>
      </c>
      <c r="D246" s="2" t="s">
        <v>73</v>
      </c>
      <c r="E246" s="2">
        <v>9.0</v>
      </c>
      <c r="F246" s="2">
        <v>82.34</v>
      </c>
      <c r="G246" s="2">
        <v>741.06</v>
      </c>
      <c r="H246" s="2" t="s">
        <v>25</v>
      </c>
    </row>
    <row r="247">
      <c r="A247" s="2" t="s">
        <v>506</v>
      </c>
      <c r="B247" s="3">
        <v>45046.0</v>
      </c>
      <c r="C247" s="2" t="s">
        <v>166</v>
      </c>
      <c r="D247" s="2" t="s">
        <v>89</v>
      </c>
      <c r="E247" s="2">
        <v>4.0</v>
      </c>
      <c r="F247" s="2">
        <v>73.93</v>
      </c>
      <c r="G247" s="2">
        <v>295.72</v>
      </c>
      <c r="H247" s="2" t="s">
        <v>38</v>
      </c>
    </row>
    <row r="248">
      <c r="A248" s="2" t="s">
        <v>507</v>
      </c>
      <c r="B248" s="3">
        <v>45863.0</v>
      </c>
      <c r="C248" s="2" t="s">
        <v>508</v>
      </c>
      <c r="D248" s="2" t="s">
        <v>31</v>
      </c>
      <c r="E248" s="2">
        <v>8.0</v>
      </c>
      <c r="F248" s="2">
        <v>100.65</v>
      </c>
      <c r="G248" s="2">
        <v>805.2</v>
      </c>
      <c r="H248" s="2" t="s">
        <v>38</v>
      </c>
    </row>
    <row r="249">
      <c r="A249" s="2" t="s">
        <v>509</v>
      </c>
      <c r="B249" s="3">
        <v>45637.0</v>
      </c>
      <c r="C249" s="2" t="s">
        <v>510</v>
      </c>
      <c r="D249" s="2" t="s">
        <v>44</v>
      </c>
      <c r="E249" s="2">
        <v>8.0</v>
      </c>
      <c r="F249" s="2">
        <v>160.49</v>
      </c>
      <c r="G249" s="2">
        <v>1283.92</v>
      </c>
      <c r="H249" s="2" t="s">
        <v>18</v>
      </c>
    </row>
    <row r="250">
      <c r="A250" s="2" t="s">
        <v>511</v>
      </c>
      <c r="B250" s="3">
        <v>45913.0</v>
      </c>
      <c r="C250" s="2" t="s">
        <v>102</v>
      </c>
      <c r="D250" s="2" t="s">
        <v>100</v>
      </c>
      <c r="E250" s="2">
        <v>9.0</v>
      </c>
      <c r="F250" s="2">
        <v>114.21</v>
      </c>
      <c r="G250" s="2">
        <v>1027.89</v>
      </c>
      <c r="H250" s="2" t="s">
        <v>11</v>
      </c>
    </row>
    <row r="251">
      <c r="A251" s="2" t="s">
        <v>512</v>
      </c>
      <c r="B251" s="3">
        <v>45909.0</v>
      </c>
      <c r="C251" s="2" t="s">
        <v>236</v>
      </c>
      <c r="D251" s="2" t="s">
        <v>160</v>
      </c>
      <c r="E251" s="2">
        <v>5.0</v>
      </c>
      <c r="F251" s="2">
        <v>43.15</v>
      </c>
      <c r="G251" s="2">
        <v>215.75</v>
      </c>
      <c r="H251" s="2" t="s">
        <v>11</v>
      </c>
    </row>
    <row r="252">
      <c r="A252" s="2" t="s">
        <v>513</v>
      </c>
      <c r="B252" s="3">
        <v>45983.0</v>
      </c>
      <c r="C252" s="2" t="s">
        <v>384</v>
      </c>
      <c r="D252" s="2" t="s">
        <v>247</v>
      </c>
      <c r="E252" s="2">
        <v>4.0</v>
      </c>
      <c r="F252" s="2">
        <v>174.29</v>
      </c>
      <c r="G252" s="2">
        <v>697.16</v>
      </c>
      <c r="H252" s="2" t="s">
        <v>25</v>
      </c>
    </row>
    <row r="253">
      <c r="A253" s="2" t="s">
        <v>514</v>
      </c>
      <c r="B253" s="3">
        <v>44588.0</v>
      </c>
      <c r="C253" s="2" t="s">
        <v>515</v>
      </c>
      <c r="D253" s="2" t="s">
        <v>14</v>
      </c>
      <c r="E253" s="2">
        <v>4.0</v>
      </c>
      <c r="F253" s="2">
        <v>75.41</v>
      </c>
      <c r="G253" s="2">
        <v>301.64</v>
      </c>
      <c r="H253" s="2" t="s">
        <v>11</v>
      </c>
    </row>
    <row r="254">
      <c r="A254" s="2" t="s">
        <v>516</v>
      </c>
      <c r="B254" s="3">
        <v>44805.0</v>
      </c>
      <c r="C254" s="2" t="s">
        <v>517</v>
      </c>
      <c r="D254" s="2" t="s">
        <v>118</v>
      </c>
      <c r="E254" s="2">
        <v>1.0</v>
      </c>
      <c r="F254" s="2">
        <v>131.34</v>
      </c>
      <c r="G254" s="2">
        <v>131.34</v>
      </c>
      <c r="H254" s="2" t="s">
        <v>11</v>
      </c>
    </row>
    <row r="255">
      <c r="A255" s="2" t="s">
        <v>518</v>
      </c>
      <c r="B255" s="3">
        <v>46080.0</v>
      </c>
      <c r="C255" s="2" t="s">
        <v>443</v>
      </c>
      <c r="D255" s="2" t="s">
        <v>370</v>
      </c>
      <c r="E255" s="2">
        <v>1.0</v>
      </c>
      <c r="F255" s="2">
        <v>73.45</v>
      </c>
      <c r="G255" s="2">
        <v>73.45</v>
      </c>
      <c r="H255" s="2" t="s">
        <v>38</v>
      </c>
    </row>
    <row r="256">
      <c r="A256" s="2" t="s">
        <v>519</v>
      </c>
      <c r="B256" s="3">
        <v>45163.0</v>
      </c>
      <c r="C256" s="2" t="s">
        <v>130</v>
      </c>
      <c r="D256" s="2" t="s">
        <v>76</v>
      </c>
      <c r="E256" s="2">
        <v>3.0</v>
      </c>
      <c r="F256" s="2">
        <v>52.33</v>
      </c>
      <c r="G256" s="2">
        <v>156.99</v>
      </c>
      <c r="H256" s="2" t="s">
        <v>11</v>
      </c>
    </row>
    <row r="257">
      <c r="A257" s="2" t="s">
        <v>520</v>
      </c>
      <c r="B257" s="3">
        <v>45105.0</v>
      </c>
      <c r="C257" s="2" t="s">
        <v>36</v>
      </c>
      <c r="D257" s="2" t="s">
        <v>237</v>
      </c>
      <c r="E257" s="2">
        <v>2.0</v>
      </c>
      <c r="F257" s="2">
        <v>164.53</v>
      </c>
      <c r="G257" s="2">
        <v>329.06</v>
      </c>
      <c r="H257" s="2" t="s">
        <v>18</v>
      </c>
    </row>
    <row r="258">
      <c r="A258" s="2" t="s">
        <v>521</v>
      </c>
      <c r="B258" s="3">
        <v>45120.0</v>
      </c>
      <c r="C258" s="2" t="s">
        <v>99</v>
      </c>
      <c r="D258" s="2" t="s">
        <v>191</v>
      </c>
      <c r="E258" s="2">
        <v>4.0</v>
      </c>
      <c r="F258" s="2">
        <v>70.71</v>
      </c>
      <c r="G258" s="2">
        <v>282.84</v>
      </c>
      <c r="H258" s="2" t="s">
        <v>25</v>
      </c>
    </row>
    <row r="259">
      <c r="A259" s="2" t="s">
        <v>522</v>
      </c>
      <c r="B259" s="3">
        <v>45483.0</v>
      </c>
      <c r="C259" s="2" t="s">
        <v>436</v>
      </c>
      <c r="D259" s="2" t="s">
        <v>100</v>
      </c>
      <c r="E259" s="2">
        <v>9.0</v>
      </c>
      <c r="F259" s="2">
        <v>114.21</v>
      </c>
      <c r="G259" s="2">
        <v>1027.89</v>
      </c>
      <c r="H259" s="2" t="s">
        <v>18</v>
      </c>
    </row>
    <row r="260">
      <c r="A260" s="2" t="s">
        <v>523</v>
      </c>
      <c r="B260" s="3">
        <v>45940.0</v>
      </c>
      <c r="C260" s="2" t="s">
        <v>524</v>
      </c>
      <c r="D260" s="2" t="s">
        <v>47</v>
      </c>
      <c r="E260" s="2">
        <v>8.0</v>
      </c>
      <c r="F260" s="2">
        <v>104.81</v>
      </c>
      <c r="G260" s="2">
        <v>838.48</v>
      </c>
      <c r="H260" s="2" t="s">
        <v>18</v>
      </c>
    </row>
    <row r="261">
      <c r="A261" s="2" t="s">
        <v>525</v>
      </c>
      <c r="B261" s="3">
        <v>45610.0</v>
      </c>
      <c r="C261" s="2" t="s">
        <v>526</v>
      </c>
      <c r="D261" s="2" t="s">
        <v>184</v>
      </c>
      <c r="E261" s="2">
        <v>10.0</v>
      </c>
      <c r="F261" s="2">
        <v>152.99</v>
      </c>
      <c r="G261" s="2">
        <v>1529.9</v>
      </c>
      <c r="H261" s="2" t="s">
        <v>38</v>
      </c>
    </row>
    <row r="262">
      <c r="A262" s="2" t="s">
        <v>527</v>
      </c>
      <c r="B262" s="3">
        <v>45777.0</v>
      </c>
      <c r="C262" s="2" t="s">
        <v>528</v>
      </c>
      <c r="D262" s="2" t="s">
        <v>170</v>
      </c>
      <c r="E262" s="2">
        <v>2.0</v>
      </c>
      <c r="F262" s="2">
        <v>146.68</v>
      </c>
      <c r="G262" s="2">
        <v>293.36</v>
      </c>
      <c r="H262" s="2" t="s">
        <v>18</v>
      </c>
    </row>
    <row r="263">
      <c r="A263" s="2" t="s">
        <v>529</v>
      </c>
      <c r="B263" s="3">
        <v>44852.0</v>
      </c>
      <c r="C263" s="2" t="s">
        <v>259</v>
      </c>
      <c r="D263" s="2" t="s">
        <v>100</v>
      </c>
      <c r="E263" s="2">
        <v>9.0</v>
      </c>
      <c r="F263" s="2">
        <v>114.21</v>
      </c>
      <c r="G263" s="2">
        <v>1027.89</v>
      </c>
      <c r="H263" s="2" t="s">
        <v>11</v>
      </c>
    </row>
    <row r="264">
      <c r="A264" s="2" t="s">
        <v>530</v>
      </c>
      <c r="B264" s="3">
        <v>45518.0</v>
      </c>
      <c r="C264" s="2" t="s">
        <v>222</v>
      </c>
      <c r="D264" s="2" t="s">
        <v>110</v>
      </c>
      <c r="E264" s="2">
        <v>6.0</v>
      </c>
      <c r="F264" s="2">
        <v>74.83</v>
      </c>
      <c r="G264" s="2">
        <v>448.98</v>
      </c>
      <c r="H264" s="2" t="s">
        <v>18</v>
      </c>
    </row>
    <row r="265">
      <c r="A265" s="2" t="s">
        <v>531</v>
      </c>
      <c r="B265" s="3">
        <v>45857.0</v>
      </c>
      <c r="C265" s="2" t="s">
        <v>243</v>
      </c>
      <c r="D265" s="2" t="s">
        <v>170</v>
      </c>
      <c r="E265" s="2">
        <v>10.0</v>
      </c>
      <c r="F265" s="2">
        <v>146.68</v>
      </c>
      <c r="G265" s="2">
        <v>1466.8</v>
      </c>
      <c r="H265" s="2" t="s">
        <v>18</v>
      </c>
    </row>
    <row r="266">
      <c r="A266" s="2" t="s">
        <v>532</v>
      </c>
      <c r="B266" s="3">
        <v>46084.0</v>
      </c>
      <c r="C266" s="2" t="s">
        <v>95</v>
      </c>
      <c r="D266" s="2" t="s">
        <v>84</v>
      </c>
      <c r="E266" s="2">
        <v>3.0</v>
      </c>
      <c r="F266" s="2">
        <v>62.86</v>
      </c>
      <c r="G266" s="2">
        <v>188.58</v>
      </c>
      <c r="H266" s="2" t="s">
        <v>11</v>
      </c>
    </row>
    <row r="267">
      <c r="A267" s="2" t="s">
        <v>533</v>
      </c>
      <c r="B267" s="3">
        <v>44621.0</v>
      </c>
      <c r="C267" s="2" t="s">
        <v>147</v>
      </c>
      <c r="D267" s="2" t="s">
        <v>118</v>
      </c>
      <c r="E267" s="2">
        <v>10.0</v>
      </c>
      <c r="F267" s="2">
        <v>131.34</v>
      </c>
      <c r="G267" s="2">
        <v>1313.4</v>
      </c>
      <c r="H267" s="2" t="s">
        <v>38</v>
      </c>
    </row>
    <row r="268">
      <c r="A268" s="2" t="s">
        <v>534</v>
      </c>
      <c r="B268" s="3">
        <v>45347.0</v>
      </c>
      <c r="C268" s="2" t="s">
        <v>241</v>
      </c>
      <c r="D268" s="2" t="s">
        <v>110</v>
      </c>
      <c r="E268" s="2">
        <v>10.0</v>
      </c>
      <c r="F268" s="2">
        <v>74.83</v>
      </c>
      <c r="G268" s="2">
        <v>748.3</v>
      </c>
      <c r="H268" s="2" t="s">
        <v>38</v>
      </c>
    </row>
    <row r="269">
      <c r="A269" s="2" t="s">
        <v>535</v>
      </c>
      <c r="B269" s="3">
        <v>44737.0</v>
      </c>
      <c r="C269" s="2" t="s">
        <v>433</v>
      </c>
      <c r="D269" s="2" t="s">
        <v>184</v>
      </c>
      <c r="E269" s="2">
        <v>1.0</v>
      </c>
      <c r="F269" s="2">
        <v>152.99</v>
      </c>
      <c r="G269" s="2">
        <v>152.99</v>
      </c>
      <c r="H269" s="2" t="s">
        <v>18</v>
      </c>
    </row>
    <row r="270">
      <c r="A270" s="2" t="s">
        <v>536</v>
      </c>
      <c r="B270" s="3">
        <v>44575.0</v>
      </c>
      <c r="C270" s="2" t="s">
        <v>537</v>
      </c>
      <c r="D270" s="2" t="s">
        <v>17</v>
      </c>
      <c r="E270" s="2">
        <v>7.0</v>
      </c>
      <c r="F270" s="2">
        <v>115.76</v>
      </c>
      <c r="G270" s="2">
        <v>810.32</v>
      </c>
      <c r="H270" s="2" t="s">
        <v>18</v>
      </c>
    </row>
    <row r="271">
      <c r="A271" s="2" t="s">
        <v>538</v>
      </c>
      <c r="B271" s="3">
        <v>45690.0</v>
      </c>
      <c r="C271" s="2" t="s">
        <v>325</v>
      </c>
      <c r="D271" s="2" t="s">
        <v>370</v>
      </c>
      <c r="E271" s="2">
        <v>2.0</v>
      </c>
      <c r="F271" s="2">
        <v>73.45</v>
      </c>
      <c r="G271" s="2">
        <v>146.9</v>
      </c>
      <c r="H271" s="2" t="s">
        <v>38</v>
      </c>
    </row>
    <row r="272">
      <c r="A272" s="2" t="s">
        <v>539</v>
      </c>
      <c r="B272" s="3">
        <v>45488.0</v>
      </c>
      <c r="C272" s="2" t="s">
        <v>99</v>
      </c>
      <c r="D272" s="2" t="s">
        <v>167</v>
      </c>
      <c r="E272" s="2">
        <v>7.0</v>
      </c>
      <c r="F272" s="2">
        <v>94.59</v>
      </c>
      <c r="G272" s="2">
        <v>662.13</v>
      </c>
      <c r="H272" s="2" t="s">
        <v>18</v>
      </c>
    </row>
    <row r="273">
      <c r="A273" s="2" t="s">
        <v>540</v>
      </c>
      <c r="B273" s="3">
        <v>45870.0</v>
      </c>
      <c r="C273" s="2" t="s">
        <v>541</v>
      </c>
      <c r="D273" s="2" t="s">
        <v>34</v>
      </c>
      <c r="E273" s="2">
        <v>2.0</v>
      </c>
      <c r="F273" s="2">
        <v>65.45</v>
      </c>
      <c r="G273" s="2">
        <v>130.9</v>
      </c>
      <c r="H273" s="2" t="s">
        <v>38</v>
      </c>
    </row>
    <row r="274">
      <c r="A274" s="2" t="s">
        <v>542</v>
      </c>
      <c r="B274" s="3">
        <v>44871.0</v>
      </c>
      <c r="C274" s="2" t="s">
        <v>543</v>
      </c>
      <c r="D274" s="2" t="s">
        <v>110</v>
      </c>
      <c r="E274" s="2">
        <v>2.0</v>
      </c>
      <c r="F274" s="2">
        <v>74.83</v>
      </c>
      <c r="G274" s="2">
        <v>149.66</v>
      </c>
      <c r="H274" s="2" t="s">
        <v>11</v>
      </c>
    </row>
    <row r="275">
      <c r="A275" s="2" t="s">
        <v>544</v>
      </c>
      <c r="B275" s="3">
        <v>45333.0</v>
      </c>
      <c r="C275" s="2" t="s">
        <v>545</v>
      </c>
      <c r="D275" s="2" t="s">
        <v>155</v>
      </c>
      <c r="E275" s="2">
        <v>10.0</v>
      </c>
      <c r="F275" s="2">
        <v>109.31</v>
      </c>
      <c r="G275" s="2">
        <v>1093.1</v>
      </c>
      <c r="H275" s="2" t="s">
        <v>25</v>
      </c>
    </row>
    <row r="276">
      <c r="A276" s="2" t="s">
        <v>546</v>
      </c>
      <c r="B276" s="3">
        <v>44603.0</v>
      </c>
      <c r="C276" s="2" t="s">
        <v>241</v>
      </c>
      <c r="D276" s="2" t="s">
        <v>34</v>
      </c>
      <c r="E276" s="2">
        <v>10.0</v>
      </c>
      <c r="F276" s="2">
        <v>65.45</v>
      </c>
      <c r="G276" s="2">
        <v>654.5</v>
      </c>
      <c r="H276" s="2" t="s">
        <v>11</v>
      </c>
    </row>
    <row r="277">
      <c r="A277" s="2" t="s">
        <v>547</v>
      </c>
      <c r="B277" s="3">
        <v>44678.0</v>
      </c>
      <c r="C277" s="2" t="s">
        <v>356</v>
      </c>
      <c r="D277" s="2" t="s">
        <v>100</v>
      </c>
      <c r="E277" s="2">
        <v>6.0</v>
      </c>
      <c r="F277" s="2">
        <v>114.21</v>
      </c>
      <c r="G277" s="2">
        <v>685.26</v>
      </c>
      <c r="H277" s="2" t="s">
        <v>38</v>
      </c>
    </row>
    <row r="278">
      <c r="A278" s="2" t="s">
        <v>548</v>
      </c>
      <c r="B278" s="3">
        <v>45088.0</v>
      </c>
      <c r="C278" s="2" t="s">
        <v>549</v>
      </c>
      <c r="D278" s="2" t="s">
        <v>28</v>
      </c>
      <c r="E278" s="2">
        <v>4.0</v>
      </c>
      <c r="F278" s="2">
        <v>187.26</v>
      </c>
      <c r="G278" s="2">
        <v>749.04</v>
      </c>
      <c r="H278" s="2" t="s">
        <v>38</v>
      </c>
    </row>
    <row r="279">
      <c r="A279" s="2" t="s">
        <v>550</v>
      </c>
      <c r="B279" s="3">
        <v>45803.0</v>
      </c>
      <c r="C279" s="2" t="s">
        <v>384</v>
      </c>
      <c r="D279" s="2" t="s">
        <v>191</v>
      </c>
      <c r="E279" s="2">
        <v>5.0</v>
      </c>
      <c r="F279" s="2">
        <v>70.71</v>
      </c>
      <c r="G279" s="2">
        <v>353.55</v>
      </c>
      <c r="H279" s="2" t="s">
        <v>25</v>
      </c>
    </row>
    <row r="280">
      <c r="A280" s="2" t="s">
        <v>551</v>
      </c>
      <c r="B280" s="3">
        <v>45149.0</v>
      </c>
      <c r="C280" s="2" t="s">
        <v>552</v>
      </c>
      <c r="D280" s="2" t="s">
        <v>471</v>
      </c>
      <c r="E280" s="2">
        <v>8.0</v>
      </c>
      <c r="F280" s="2">
        <v>122.33</v>
      </c>
      <c r="G280" s="2">
        <v>978.64</v>
      </c>
      <c r="H280" s="2" t="s">
        <v>38</v>
      </c>
    </row>
    <row r="281">
      <c r="A281" s="2" t="s">
        <v>553</v>
      </c>
      <c r="B281" s="3">
        <v>45023.0</v>
      </c>
      <c r="C281" s="2" t="s">
        <v>554</v>
      </c>
      <c r="D281" s="2" t="s">
        <v>100</v>
      </c>
      <c r="E281" s="2">
        <v>4.0</v>
      </c>
      <c r="F281" s="2">
        <v>114.21</v>
      </c>
      <c r="G281" s="2">
        <v>456.84</v>
      </c>
      <c r="H281" s="2" t="s">
        <v>18</v>
      </c>
    </row>
    <row r="282">
      <c r="A282" s="2" t="s">
        <v>555</v>
      </c>
      <c r="B282" s="3">
        <v>45568.0</v>
      </c>
      <c r="C282" s="2" t="s">
        <v>556</v>
      </c>
      <c r="D282" s="2" t="s">
        <v>100</v>
      </c>
      <c r="E282" s="2">
        <v>2.0</v>
      </c>
      <c r="F282" s="2">
        <v>114.21</v>
      </c>
      <c r="G282" s="2">
        <v>228.42</v>
      </c>
      <c r="H282" s="2" t="s">
        <v>38</v>
      </c>
    </row>
    <row r="283">
      <c r="A283" s="2" t="s">
        <v>557</v>
      </c>
      <c r="B283" s="3">
        <v>44863.0</v>
      </c>
      <c r="C283" s="2" t="s">
        <v>351</v>
      </c>
      <c r="D283" s="2" t="s">
        <v>160</v>
      </c>
      <c r="E283" s="2">
        <v>6.0</v>
      </c>
      <c r="F283" s="2">
        <v>43.15</v>
      </c>
      <c r="G283" s="2">
        <v>258.9</v>
      </c>
      <c r="H283" s="2" t="s">
        <v>38</v>
      </c>
    </row>
    <row r="284">
      <c r="A284" s="2" t="s">
        <v>558</v>
      </c>
      <c r="B284" s="3">
        <v>45249.0</v>
      </c>
      <c r="C284" s="2" t="s">
        <v>99</v>
      </c>
      <c r="D284" s="2" t="s">
        <v>79</v>
      </c>
      <c r="E284" s="2">
        <v>9.0</v>
      </c>
      <c r="F284" s="2">
        <v>183.75</v>
      </c>
      <c r="G284" s="2">
        <v>1653.75</v>
      </c>
      <c r="H284" s="2" t="s">
        <v>25</v>
      </c>
    </row>
    <row r="285">
      <c r="A285" s="2" t="s">
        <v>559</v>
      </c>
      <c r="B285" s="3">
        <v>45056.0</v>
      </c>
      <c r="C285" s="2" t="s">
        <v>312</v>
      </c>
      <c r="D285" s="2" t="s">
        <v>110</v>
      </c>
      <c r="E285" s="2">
        <v>3.0</v>
      </c>
      <c r="F285" s="2">
        <v>74.83</v>
      </c>
      <c r="G285" s="2">
        <v>224.49</v>
      </c>
      <c r="H285" s="2" t="s">
        <v>11</v>
      </c>
    </row>
    <row r="286">
      <c r="A286" s="2" t="s">
        <v>560</v>
      </c>
      <c r="B286" s="3">
        <v>44880.0</v>
      </c>
      <c r="C286" s="2" t="s">
        <v>561</v>
      </c>
      <c r="D286" s="2" t="s">
        <v>21</v>
      </c>
      <c r="E286" s="2">
        <v>1.0</v>
      </c>
      <c r="F286" s="2">
        <v>144.69</v>
      </c>
      <c r="G286" s="2">
        <v>144.69</v>
      </c>
      <c r="H286" s="2" t="s">
        <v>11</v>
      </c>
    </row>
    <row r="287">
      <c r="A287" s="2" t="s">
        <v>562</v>
      </c>
      <c r="B287" s="3">
        <v>45908.0</v>
      </c>
      <c r="C287" s="2" t="s">
        <v>403</v>
      </c>
      <c r="D287" s="2" t="s">
        <v>126</v>
      </c>
      <c r="E287" s="2">
        <v>1.0</v>
      </c>
      <c r="F287" s="2">
        <v>161.48</v>
      </c>
      <c r="G287" s="2">
        <v>161.48</v>
      </c>
      <c r="H287" s="2" t="s">
        <v>25</v>
      </c>
    </row>
    <row r="288">
      <c r="A288" s="2" t="s">
        <v>563</v>
      </c>
      <c r="B288" s="3">
        <v>44855.0</v>
      </c>
      <c r="C288" s="2" t="s">
        <v>564</v>
      </c>
      <c r="D288" s="2" t="s">
        <v>170</v>
      </c>
      <c r="E288" s="2">
        <v>4.0</v>
      </c>
      <c r="F288" s="2">
        <v>146.68</v>
      </c>
      <c r="G288" s="2">
        <v>586.72</v>
      </c>
      <c r="H288" s="2" t="s">
        <v>38</v>
      </c>
    </row>
    <row r="289">
      <c r="A289" s="2" t="s">
        <v>565</v>
      </c>
      <c r="B289" s="3">
        <v>45486.0</v>
      </c>
      <c r="C289" s="2" t="s">
        <v>524</v>
      </c>
      <c r="D289" s="2" t="s">
        <v>105</v>
      </c>
      <c r="E289" s="2">
        <v>3.0</v>
      </c>
      <c r="F289" s="2">
        <v>128.23</v>
      </c>
      <c r="G289" s="2">
        <v>384.69</v>
      </c>
      <c r="H289" s="2" t="s">
        <v>38</v>
      </c>
    </row>
    <row r="290">
      <c r="A290" s="2" t="s">
        <v>566</v>
      </c>
      <c r="B290" s="3">
        <v>46030.0</v>
      </c>
      <c r="C290" s="2" t="s">
        <v>88</v>
      </c>
      <c r="D290" s="2" t="s">
        <v>17</v>
      </c>
      <c r="E290" s="2">
        <v>4.0</v>
      </c>
      <c r="F290" s="2">
        <v>115.76</v>
      </c>
      <c r="G290" s="2">
        <v>463.04</v>
      </c>
      <c r="H290" s="2" t="s">
        <v>11</v>
      </c>
    </row>
    <row r="291">
      <c r="A291" s="2" t="s">
        <v>567</v>
      </c>
      <c r="B291" s="3">
        <v>44798.0</v>
      </c>
      <c r="C291" s="2" t="s">
        <v>568</v>
      </c>
      <c r="D291" s="2" t="s">
        <v>92</v>
      </c>
      <c r="E291" s="2">
        <v>6.0</v>
      </c>
      <c r="F291" s="2">
        <v>37.05</v>
      </c>
      <c r="G291" s="2">
        <v>222.3</v>
      </c>
      <c r="H291" s="2" t="s">
        <v>25</v>
      </c>
    </row>
    <row r="292">
      <c r="A292" s="2" t="s">
        <v>569</v>
      </c>
      <c r="B292" s="3">
        <v>45056.0</v>
      </c>
      <c r="C292" s="2" t="s">
        <v>570</v>
      </c>
      <c r="D292" s="2" t="s">
        <v>118</v>
      </c>
      <c r="E292" s="2">
        <v>7.0</v>
      </c>
      <c r="F292" s="2">
        <v>131.34</v>
      </c>
      <c r="G292" s="2">
        <v>919.38</v>
      </c>
      <c r="H292" s="2" t="s">
        <v>11</v>
      </c>
    </row>
    <row r="293">
      <c r="A293" s="2" t="s">
        <v>571</v>
      </c>
      <c r="B293" s="3">
        <v>44686.0</v>
      </c>
      <c r="C293" s="2" t="s">
        <v>61</v>
      </c>
      <c r="D293" s="2" t="s">
        <v>110</v>
      </c>
      <c r="E293" s="2">
        <v>10.0</v>
      </c>
      <c r="F293" s="2">
        <v>74.83</v>
      </c>
      <c r="G293" s="2">
        <v>748.3</v>
      </c>
      <c r="H293" s="2" t="s">
        <v>11</v>
      </c>
    </row>
    <row r="294">
      <c r="A294" s="2" t="s">
        <v>572</v>
      </c>
      <c r="B294" s="3">
        <v>44695.0</v>
      </c>
      <c r="C294" s="2" t="s">
        <v>458</v>
      </c>
      <c r="D294" s="2" t="s">
        <v>17</v>
      </c>
      <c r="E294" s="2">
        <v>3.0</v>
      </c>
      <c r="F294" s="2">
        <v>115.76</v>
      </c>
      <c r="G294" s="2">
        <v>347.28</v>
      </c>
      <c r="H294" s="2" t="s">
        <v>25</v>
      </c>
    </row>
    <row r="295">
      <c r="A295" s="2" t="s">
        <v>573</v>
      </c>
      <c r="B295" s="3">
        <v>45943.0</v>
      </c>
      <c r="C295" s="2" t="s">
        <v>574</v>
      </c>
      <c r="D295" s="2" t="s">
        <v>41</v>
      </c>
      <c r="E295" s="2">
        <v>9.0</v>
      </c>
      <c r="F295" s="2">
        <v>54.76</v>
      </c>
      <c r="G295" s="2">
        <v>492.84</v>
      </c>
      <c r="H295" s="2" t="s">
        <v>18</v>
      </c>
    </row>
    <row r="296">
      <c r="A296" s="2" t="s">
        <v>575</v>
      </c>
      <c r="B296" s="3">
        <v>45644.0</v>
      </c>
      <c r="C296" s="2" t="s">
        <v>576</v>
      </c>
      <c r="D296" s="2" t="s">
        <v>76</v>
      </c>
      <c r="E296" s="2">
        <v>8.0</v>
      </c>
      <c r="F296" s="2">
        <v>52.33</v>
      </c>
      <c r="G296" s="2">
        <v>418.64</v>
      </c>
      <c r="H296" s="2" t="s">
        <v>18</v>
      </c>
    </row>
    <row r="297">
      <c r="A297" s="2" t="s">
        <v>577</v>
      </c>
      <c r="B297" s="3">
        <v>44869.0</v>
      </c>
      <c r="C297" s="2" t="s">
        <v>578</v>
      </c>
      <c r="D297" s="2" t="s">
        <v>59</v>
      </c>
      <c r="E297" s="2">
        <v>5.0</v>
      </c>
      <c r="F297" s="2">
        <v>161.81</v>
      </c>
      <c r="G297" s="2">
        <v>809.05</v>
      </c>
      <c r="H297" s="2" t="s">
        <v>11</v>
      </c>
    </row>
    <row r="298">
      <c r="A298" s="2" t="s">
        <v>579</v>
      </c>
      <c r="B298" s="3">
        <v>45961.0</v>
      </c>
      <c r="C298" s="2" t="s">
        <v>580</v>
      </c>
      <c r="D298" s="2" t="s">
        <v>79</v>
      </c>
      <c r="E298" s="2">
        <v>8.0</v>
      </c>
      <c r="F298" s="2">
        <v>183.75</v>
      </c>
      <c r="G298" s="2">
        <v>1470.0</v>
      </c>
      <c r="H298" s="2" t="s">
        <v>25</v>
      </c>
    </row>
    <row r="299">
      <c r="A299" s="2" t="s">
        <v>581</v>
      </c>
      <c r="B299" s="3">
        <v>44695.0</v>
      </c>
      <c r="C299" s="2" t="s">
        <v>162</v>
      </c>
      <c r="D299" s="2" t="s">
        <v>184</v>
      </c>
      <c r="E299" s="2">
        <v>3.0</v>
      </c>
      <c r="F299" s="2">
        <v>152.99</v>
      </c>
      <c r="G299" s="2">
        <v>458.97</v>
      </c>
      <c r="H299" s="2" t="s">
        <v>25</v>
      </c>
    </row>
    <row r="300">
      <c r="A300" s="2" t="s">
        <v>582</v>
      </c>
      <c r="B300" s="3">
        <v>44683.0</v>
      </c>
      <c r="C300" s="2" t="s">
        <v>583</v>
      </c>
      <c r="D300" s="2" t="s">
        <v>89</v>
      </c>
      <c r="E300" s="2">
        <v>6.0</v>
      </c>
      <c r="F300" s="2">
        <v>73.93</v>
      </c>
      <c r="G300" s="2">
        <v>443.58</v>
      </c>
      <c r="H300" s="2" t="s">
        <v>11</v>
      </c>
    </row>
    <row r="301">
      <c r="A301" s="2" t="s">
        <v>584</v>
      </c>
      <c r="B301" s="3">
        <v>44932.0</v>
      </c>
      <c r="C301" s="2" t="s">
        <v>585</v>
      </c>
      <c r="D301" s="2" t="s">
        <v>118</v>
      </c>
      <c r="E301" s="2">
        <v>4.0</v>
      </c>
      <c r="F301" s="2">
        <v>131.34</v>
      </c>
      <c r="G301" s="2">
        <v>525.36</v>
      </c>
      <c r="H301" s="2" t="s">
        <v>38</v>
      </c>
    </row>
    <row r="302">
      <c r="A302" s="2" t="s">
        <v>586</v>
      </c>
      <c r="B302" s="3">
        <v>45982.0</v>
      </c>
      <c r="C302" s="2" t="s">
        <v>587</v>
      </c>
      <c r="D302" s="2" t="s">
        <v>148</v>
      </c>
      <c r="E302" s="2">
        <v>3.0</v>
      </c>
      <c r="F302" s="2">
        <v>44.18</v>
      </c>
      <c r="G302" s="2">
        <v>132.54</v>
      </c>
      <c r="H302" s="2" t="s">
        <v>38</v>
      </c>
    </row>
    <row r="303">
      <c r="A303" s="2" t="s">
        <v>588</v>
      </c>
      <c r="B303" s="3">
        <v>45211.0</v>
      </c>
      <c r="C303" s="2" t="s">
        <v>338</v>
      </c>
      <c r="D303" s="2" t="s">
        <v>167</v>
      </c>
      <c r="E303" s="2">
        <v>10.0</v>
      </c>
      <c r="F303" s="2">
        <v>94.59</v>
      </c>
      <c r="G303" s="2">
        <v>945.9</v>
      </c>
      <c r="H303" s="2" t="s">
        <v>25</v>
      </c>
    </row>
    <row r="304">
      <c r="A304" s="2" t="s">
        <v>589</v>
      </c>
      <c r="B304" s="3">
        <v>44909.0</v>
      </c>
      <c r="C304" s="2" t="s">
        <v>56</v>
      </c>
      <c r="D304" s="2" t="s">
        <v>133</v>
      </c>
      <c r="E304" s="2">
        <v>1.0</v>
      </c>
      <c r="F304" s="2">
        <v>143.58</v>
      </c>
      <c r="G304" s="2">
        <v>143.58</v>
      </c>
      <c r="H304" s="2" t="s">
        <v>38</v>
      </c>
    </row>
    <row r="305">
      <c r="A305" s="2" t="s">
        <v>590</v>
      </c>
      <c r="B305" s="3">
        <v>44951.0</v>
      </c>
      <c r="C305" s="2" t="s">
        <v>306</v>
      </c>
      <c r="D305" s="2" t="s">
        <v>170</v>
      </c>
      <c r="E305" s="2">
        <v>1.0</v>
      </c>
      <c r="F305" s="2">
        <v>146.68</v>
      </c>
      <c r="G305" s="2">
        <v>146.68</v>
      </c>
      <c r="H305" s="2" t="s">
        <v>11</v>
      </c>
    </row>
    <row r="306">
      <c r="A306" s="2" t="s">
        <v>591</v>
      </c>
      <c r="B306" s="3">
        <v>45308.0</v>
      </c>
      <c r="C306" s="2" t="s">
        <v>592</v>
      </c>
      <c r="D306" s="2" t="s">
        <v>447</v>
      </c>
      <c r="E306" s="2">
        <v>4.0</v>
      </c>
      <c r="F306" s="2">
        <v>143.99</v>
      </c>
      <c r="G306" s="2">
        <v>575.96</v>
      </c>
      <c r="H306" s="2" t="s">
        <v>25</v>
      </c>
    </row>
    <row r="307">
      <c r="A307" s="2" t="s">
        <v>593</v>
      </c>
      <c r="B307" s="3">
        <v>45792.0</v>
      </c>
      <c r="C307" s="2" t="s">
        <v>594</v>
      </c>
      <c r="D307" s="2" t="s">
        <v>100</v>
      </c>
      <c r="E307" s="2">
        <v>7.0</v>
      </c>
      <c r="F307" s="2">
        <v>114.21</v>
      </c>
      <c r="G307" s="2">
        <v>799.47</v>
      </c>
      <c r="H307" s="2" t="s">
        <v>18</v>
      </c>
    </row>
    <row r="308">
      <c r="A308" s="2" t="s">
        <v>595</v>
      </c>
      <c r="B308" s="3">
        <v>44802.0</v>
      </c>
      <c r="C308" s="2" t="s">
        <v>596</v>
      </c>
      <c r="D308" s="2" t="s">
        <v>223</v>
      </c>
      <c r="E308" s="2">
        <v>9.0</v>
      </c>
      <c r="F308" s="2">
        <v>170.73</v>
      </c>
      <c r="G308" s="2">
        <v>1536.57</v>
      </c>
      <c r="H308" s="2" t="s">
        <v>11</v>
      </c>
    </row>
    <row r="309">
      <c r="A309" s="2" t="s">
        <v>597</v>
      </c>
      <c r="B309" s="3">
        <v>44703.0</v>
      </c>
      <c r="C309" s="2" t="s">
        <v>481</v>
      </c>
      <c r="D309" s="2" t="s">
        <v>76</v>
      </c>
      <c r="E309" s="2">
        <v>4.0</v>
      </c>
      <c r="F309" s="2">
        <v>52.33</v>
      </c>
      <c r="G309" s="2">
        <v>209.32</v>
      </c>
      <c r="H309" s="2" t="s">
        <v>25</v>
      </c>
    </row>
    <row r="310">
      <c r="A310" s="2" t="s">
        <v>598</v>
      </c>
      <c r="B310" s="3">
        <v>45477.0</v>
      </c>
      <c r="C310" s="2" t="s">
        <v>487</v>
      </c>
      <c r="D310" s="2" t="s">
        <v>223</v>
      </c>
      <c r="E310" s="2">
        <v>1.0</v>
      </c>
      <c r="F310" s="2">
        <v>170.73</v>
      </c>
      <c r="G310" s="2">
        <v>170.73</v>
      </c>
      <c r="H310" s="2" t="s">
        <v>25</v>
      </c>
    </row>
    <row r="311">
      <c r="A311" s="2" t="s">
        <v>599</v>
      </c>
      <c r="B311" s="3">
        <v>46054.0</v>
      </c>
      <c r="C311" s="2" t="s">
        <v>600</v>
      </c>
      <c r="D311" s="2" t="s">
        <v>126</v>
      </c>
      <c r="E311" s="2">
        <v>2.0</v>
      </c>
      <c r="F311" s="2">
        <v>161.48</v>
      </c>
      <c r="G311" s="2">
        <v>322.96</v>
      </c>
      <c r="H311" s="2" t="s">
        <v>25</v>
      </c>
    </row>
    <row r="312">
      <c r="A312" s="2" t="s">
        <v>601</v>
      </c>
      <c r="B312" s="3">
        <v>45095.0</v>
      </c>
      <c r="C312" s="2" t="s">
        <v>179</v>
      </c>
      <c r="D312" s="2" t="s">
        <v>41</v>
      </c>
      <c r="E312" s="2">
        <v>2.0</v>
      </c>
      <c r="F312" s="2">
        <v>54.76</v>
      </c>
      <c r="G312" s="2">
        <v>109.52</v>
      </c>
      <c r="H312" s="2" t="s">
        <v>38</v>
      </c>
    </row>
    <row r="313">
      <c r="A313" s="2" t="s">
        <v>602</v>
      </c>
      <c r="B313" s="3">
        <v>45042.0</v>
      </c>
      <c r="C313" s="2" t="s">
        <v>603</v>
      </c>
      <c r="D313" s="2" t="s">
        <v>24</v>
      </c>
      <c r="E313" s="2">
        <v>9.0</v>
      </c>
      <c r="F313" s="2">
        <v>90.5</v>
      </c>
      <c r="G313" s="2">
        <v>814.5</v>
      </c>
      <c r="H313" s="2" t="s">
        <v>25</v>
      </c>
    </row>
    <row r="314">
      <c r="A314" s="2" t="s">
        <v>604</v>
      </c>
      <c r="B314" s="3">
        <v>45580.0</v>
      </c>
      <c r="C314" s="2" t="s">
        <v>605</v>
      </c>
      <c r="D314" s="2" t="s">
        <v>133</v>
      </c>
      <c r="E314" s="2">
        <v>1.0</v>
      </c>
      <c r="F314" s="2">
        <v>143.58</v>
      </c>
      <c r="G314" s="2">
        <v>143.58</v>
      </c>
      <c r="H314" s="2" t="s">
        <v>11</v>
      </c>
    </row>
    <row r="315">
      <c r="A315" s="2" t="s">
        <v>606</v>
      </c>
      <c r="B315" s="3">
        <v>44991.0</v>
      </c>
      <c r="C315" s="2" t="s">
        <v>308</v>
      </c>
      <c r="D315" s="2" t="s">
        <v>17</v>
      </c>
      <c r="E315" s="2">
        <v>1.0</v>
      </c>
      <c r="F315" s="2">
        <v>115.76</v>
      </c>
      <c r="G315" s="2">
        <v>115.76</v>
      </c>
      <c r="H315" s="2" t="s">
        <v>38</v>
      </c>
    </row>
    <row r="316">
      <c r="A316" s="2" t="s">
        <v>607</v>
      </c>
      <c r="B316" s="3">
        <v>45245.0</v>
      </c>
      <c r="C316" s="2" t="s">
        <v>549</v>
      </c>
      <c r="D316" s="2" t="s">
        <v>47</v>
      </c>
      <c r="E316" s="2">
        <v>4.0</v>
      </c>
      <c r="F316" s="2">
        <v>104.81</v>
      </c>
      <c r="G316" s="2">
        <v>419.24</v>
      </c>
      <c r="H316" s="2" t="s">
        <v>38</v>
      </c>
    </row>
    <row r="317">
      <c r="A317" s="2" t="s">
        <v>608</v>
      </c>
      <c r="B317" s="3">
        <v>45277.0</v>
      </c>
      <c r="C317" s="2" t="s">
        <v>379</v>
      </c>
      <c r="D317" s="2" t="s">
        <v>44</v>
      </c>
      <c r="E317" s="2">
        <v>4.0</v>
      </c>
      <c r="F317" s="2">
        <v>160.49</v>
      </c>
      <c r="G317" s="2">
        <v>641.96</v>
      </c>
      <c r="H317" s="2" t="s">
        <v>18</v>
      </c>
    </row>
    <row r="318">
      <c r="A318" s="2" t="s">
        <v>609</v>
      </c>
      <c r="B318" s="3">
        <v>44748.0</v>
      </c>
      <c r="C318" s="2" t="s">
        <v>610</v>
      </c>
      <c r="D318" s="2" t="s">
        <v>118</v>
      </c>
      <c r="E318" s="2">
        <v>5.0</v>
      </c>
      <c r="F318" s="2">
        <v>131.34</v>
      </c>
      <c r="G318" s="2">
        <v>656.7</v>
      </c>
      <c r="H318" s="2" t="s">
        <v>18</v>
      </c>
    </row>
    <row r="319">
      <c r="A319" s="2" t="s">
        <v>611</v>
      </c>
      <c r="B319" s="3">
        <v>45773.0</v>
      </c>
      <c r="C319" s="2" t="s">
        <v>552</v>
      </c>
      <c r="D319" s="2" t="s">
        <v>76</v>
      </c>
      <c r="E319" s="2">
        <v>10.0</v>
      </c>
      <c r="F319" s="2">
        <v>52.33</v>
      </c>
      <c r="G319" s="2">
        <v>523.3</v>
      </c>
      <c r="H319" s="2" t="s">
        <v>18</v>
      </c>
    </row>
    <row r="320">
      <c r="A320" s="2" t="s">
        <v>612</v>
      </c>
      <c r="B320" s="3">
        <v>45456.0</v>
      </c>
      <c r="C320" s="2" t="s">
        <v>186</v>
      </c>
      <c r="D320" s="2" t="s">
        <v>167</v>
      </c>
      <c r="E320" s="2">
        <v>8.0</v>
      </c>
      <c r="F320" s="2">
        <v>94.59</v>
      </c>
      <c r="G320" s="2">
        <v>756.72</v>
      </c>
      <c r="H320" s="2" t="s">
        <v>38</v>
      </c>
    </row>
    <row r="321">
      <c r="A321" s="2" t="s">
        <v>613</v>
      </c>
      <c r="B321" s="3">
        <v>45765.0</v>
      </c>
      <c r="C321" s="2" t="s">
        <v>614</v>
      </c>
      <c r="D321" s="2" t="s">
        <v>82</v>
      </c>
      <c r="E321" s="2">
        <v>2.0</v>
      </c>
      <c r="F321" s="2">
        <v>190.65</v>
      </c>
      <c r="G321" s="2">
        <v>381.3</v>
      </c>
      <c r="H321" s="2" t="s">
        <v>11</v>
      </c>
    </row>
    <row r="322">
      <c r="A322" s="2" t="s">
        <v>615</v>
      </c>
      <c r="B322" s="3">
        <v>45848.0</v>
      </c>
      <c r="C322" s="2" t="s">
        <v>616</v>
      </c>
      <c r="D322" s="2" t="s">
        <v>84</v>
      </c>
      <c r="E322" s="2">
        <v>6.0</v>
      </c>
      <c r="F322" s="2">
        <v>62.86</v>
      </c>
      <c r="G322" s="2">
        <v>377.16</v>
      </c>
      <c r="H322" s="2" t="s">
        <v>25</v>
      </c>
    </row>
    <row r="323">
      <c r="A323" s="2" t="s">
        <v>617</v>
      </c>
      <c r="B323" s="3">
        <v>45968.0</v>
      </c>
      <c r="C323" s="2" t="s">
        <v>493</v>
      </c>
      <c r="D323" s="2" t="s">
        <v>223</v>
      </c>
      <c r="E323" s="2">
        <v>8.0</v>
      </c>
      <c r="F323" s="2">
        <v>170.73</v>
      </c>
      <c r="G323" s="2">
        <v>1365.84</v>
      </c>
      <c r="H323" s="2" t="s">
        <v>25</v>
      </c>
    </row>
    <row r="324">
      <c r="A324" s="2" t="s">
        <v>618</v>
      </c>
      <c r="B324" s="3">
        <v>45964.0</v>
      </c>
      <c r="C324" s="2" t="s">
        <v>619</v>
      </c>
      <c r="D324" s="2" t="s">
        <v>41</v>
      </c>
      <c r="E324" s="2">
        <v>1.0</v>
      </c>
      <c r="F324" s="2">
        <v>54.76</v>
      </c>
      <c r="G324" s="2">
        <v>54.76</v>
      </c>
      <c r="H324" s="2" t="s">
        <v>11</v>
      </c>
    </row>
    <row r="325">
      <c r="A325" s="2" t="s">
        <v>620</v>
      </c>
      <c r="B325" s="3">
        <v>45613.0</v>
      </c>
      <c r="C325" s="2" t="s">
        <v>621</v>
      </c>
      <c r="D325" s="2" t="s">
        <v>28</v>
      </c>
      <c r="E325" s="2">
        <v>6.0</v>
      </c>
      <c r="F325" s="2">
        <v>187.26</v>
      </c>
      <c r="G325" s="2">
        <v>1123.56</v>
      </c>
      <c r="H325" s="2" t="s">
        <v>11</v>
      </c>
    </row>
    <row r="326">
      <c r="A326" s="2" t="s">
        <v>622</v>
      </c>
      <c r="B326" s="3">
        <v>45646.0</v>
      </c>
      <c r="C326" s="2" t="s">
        <v>549</v>
      </c>
      <c r="D326" s="2" t="s">
        <v>41</v>
      </c>
      <c r="E326" s="2">
        <v>7.0</v>
      </c>
      <c r="F326" s="2">
        <v>54.76</v>
      </c>
      <c r="G326" s="2">
        <v>383.32</v>
      </c>
      <c r="H326" s="2" t="s">
        <v>11</v>
      </c>
    </row>
    <row r="327">
      <c r="A327" s="2" t="s">
        <v>623</v>
      </c>
      <c r="B327" s="3">
        <v>44897.0</v>
      </c>
      <c r="C327" s="2" t="s">
        <v>624</v>
      </c>
      <c r="D327" s="2" t="s">
        <v>100</v>
      </c>
      <c r="E327" s="2">
        <v>3.0</v>
      </c>
      <c r="F327" s="2">
        <v>114.21</v>
      </c>
      <c r="G327" s="2">
        <v>342.63</v>
      </c>
      <c r="H327" s="2" t="s">
        <v>25</v>
      </c>
    </row>
    <row r="328">
      <c r="A328" s="2" t="s">
        <v>625</v>
      </c>
      <c r="B328" s="3">
        <v>45070.0</v>
      </c>
      <c r="C328" s="2" t="s">
        <v>626</v>
      </c>
      <c r="D328" s="2" t="s">
        <v>447</v>
      </c>
      <c r="E328" s="2">
        <v>8.0</v>
      </c>
      <c r="F328" s="2">
        <v>143.99</v>
      </c>
      <c r="G328" s="2">
        <v>1151.92</v>
      </c>
      <c r="H328" s="2" t="s">
        <v>18</v>
      </c>
    </row>
    <row r="329">
      <c r="A329" s="2" t="s">
        <v>627</v>
      </c>
      <c r="B329" s="3">
        <v>45687.0</v>
      </c>
      <c r="C329" s="2" t="s">
        <v>628</v>
      </c>
      <c r="D329" s="2" t="s">
        <v>223</v>
      </c>
      <c r="E329" s="2">
        <v>10.0</v>
      </c>
      <c r="F329" s="2">
        <v>170.73</v>
      </c>
      <c r="G329" s="2">
        <v>1707.3</v>
      </c>
      <c r="H329" s="2" t="s">
        <v>38</v>
      </c>
    </row>
    <row r="330">
      <c r="A330" s="2" t="s">
        <v>629</v>
      </c>
      <c r="B330" s="3">
        <v>45210.0</v>
      </c>
      <c r="C330" s="2" t="s">
        <v>393</v>
      </c>
      <c r="D330" s="2" t="s">
        <v>133</v>
      </c>
      <c r="E330" s="2">
        <v>4.0</v>
      </c>
      <c r="F330" s="2">
        <v>143.58</v>
      </c>
      <c r="G330" s="2">
        <v>574.32</v>
      </c>
      <c r="H330" s="2" t="s">
        <v>18</v>
      </c>
    </row>
    <row r="331">
      <c r="A331" s="2" t="s">
        <v>630</v>
      </c>
      <c r="B331" s="3">
        <v>45437.0</v>
      </c>
      <c r="C331" s="2" t="s">
        <v>367</v>
      </c>
      <c r="D331" s="2" t="s">
        <v>47</v>
      </c>
      <c r="E331" s="2">
        <v>8.0</v>
      </c>
      <c r="F331" s="2">
        <v>104.81</v>
      </c>
      <c r="G331" s="2">
        <v>838.48</v>
      </c>
      <c r="H331" s="2" t="s">
        <v>11</v>
      </c>
    </row>
    <row r="332">
      <c r="A332" s="2" t="s">
        <v>631</v>
      </c>
      <c r="B332" s="3">
        <v>45109.0</v>
      </c>
      <c r="C332" s="2" t="s">
        <v>302</v>
      </c>
      <c r="D332" s="2" t="s">
        <v>340</v>
      </c>
      <c r="E332" s="2">
        <v>4.0</v>
      </c>
      <c r="F332" s="2">
        <v>140.72</v>
      </c>
      <c r="G332" s="2">
        <v>562.88</v>
      </c>
      <c r="H332" s="2" t="s">
        <v>25</v>
      </c>
    </row>
    <row r="333">
      <c r="A333" s="2" t="s">
        <v>632</v>
      </c>
      <c r="B333" s="3">
        <v>45310.0</v>
      </c>
      <c r="C333" s="2" t="s">
        <v>633</v>
      </c>
      <c r="D333" s="2" t="s">
        <v>47</v>
      </c>
      <c r="E333" s="2">
        <v>9.0</v>
      </c>
      <c r="F333" s="2">
        <v>104.81</v>
      </c>
      <c r="G333" s="2">
        <v>943.29</v>
      </c>
      <c r="H333" s="2" t="s">
        <v>25</v>
      </c>
    </row>
    <row r="334">
      <c r="A334" s="2" t="s">
        <v>634</v>
      </c>
      <c r="B334" s="3">
        <v>45814.0</v>
      </c>
      <c r="C334" s="2" t="s">
        <v>635</v>
      </c>
      <c r="D334" s="2" t="s">
        <v>340</v>
      </c>
      <c r="E334" s="2">
        <v>8.0</v>
      </c>
      <c r="F334" s="2">
        <v>140.72</v>
      </c>
      <c r="G334" s="2">
        <v>1125.76</v>
      </c>
      <c r="H334" s="2" t="s">
        <v>11</v>
      </c>
    </row>
    <row r="335">
      <c r="A335" s="2" t="s">
        <v>636</v>
      </c>
      <c r="B335" s="3">
        <v>45986.0</v>
      </c>
      <c r="C335" s="2" t="s">
        <v>637</v>
      </c>
      <c r="D335" s="2" t="s">
        <v>133</v>
      </c>
      <c r="E335" s="2">
        <v>5.0</v>
      </c>
      <c r="F335" s="2">
        <v>143.58</v>
      </c>
      <c r="G335" s="2">
        <v>717.9</v>
      </c>
      <c r="H335" s="2" t="s">
        <v>18</v>
      </c>
    </row>
    <row r="336">
      <c r="A336" s="2" t="s">
        <v>638</v>
      </c>
      <c r="B336" s="3">
        <v>44971.0</v>
      </c>
      <c r="C336" s="2" t="s">
        <v>476</v>
      </c>
      <c r="D336" s="2" t="s">
        <v>237</v>
      </c>
      <c r="E336" s="2">
        <v>8.0</v>
      </c>
      <c r="F336" s="2">
        <v>164.53</v>
      </c>
      <c r="G336" s="2">
        <v>1316.24</v>
      </c>
      <c r="H336" s="2" t="s">
        <v>18</v>
      </c>
    </row>
    <row r="337">
      <c r="A337" s="2" t="s">
        <v>639</v>
      </c>
      <c r="B337" s="3">
        <v>45681.0</v>
      </c>
      <c r="C337" s="2" t="s">
        <v>537</v>
      </c>
      <c r="D337" s="2" t="s">
        <v>110</v>
      </c>
      <c r="E337" s="2">
        <v>7.0</v>
      </c>
      <c r="F337" s="2">
        <v>74.83</v>
      </c>
      <c r="G337" s="2">
        <v>523.81</v>
      </c>
      <c r="H337" s="2" t="s">
        <v>38</v>
      </c>
    </row>
    <row r="338">
      <c r="A338" s="2" t="s">
        <v>640</v>
      </c>
      <c r="B338" s="3">
        <v>45550.0</v>
      </c>
      <c r="C338" s="2" t="s">
        <v>641</v>
      </c>
      <c r="D338" s="2" t="s">
        <v>105</v>
      </c>
      <c r="E338" s="2">
        <v>7.0</v>
      </c>
      <c r="F338" s="2">
        <v>128.23</v>
      </c>
      <c r="G338" s="2">
        <v>897.61</v>
      </c>
      <c r="H338" s="2" t="s">
        <v>18</v>
      </c>
    </row>
    <row r="339">
      <c r="A339" s="2" t="s">
        <v>642</v>
      </c>
      <c r="B339" s="3">
        <v>45771.0</v>
      </c>
      <c r="C339" s="2" t="s">
        <v>643</v>
      </c>
      <c r="D339" s="2" t="s">
        <v>47</v>
      </c>
      <c r="E339" s="2">
        <v>7.0</v>
      </c>
      <c r="F339" s="2">
        <v>104.81</v>
      </c>
      <c r="G339" s="2">
        <v>733.67</v>
      </c>
      <c r="H339" s="2" t="s">
        <v>11</v>
      </c>
    </row>
    <row r="340">
      <c r="A340" s="2" t="s">
        <v>644</v>
      </c>
      <c r="B340" s="3">
        <v>44807.0</v>
      </c>
      <c r="C340" s="2" t="s">
        <v>564</v>
      </c>
      <c r="D340" s="2" t="s">
        <v>82</v>
      </c>
      <c r="E340" s="2">
        <v>7.0</v>
      </c>
      <c r="F340" s="2">
        <v>190.65</v>
      </c>
      <c r="G340" s="2">
        <v>1334.55</v>
      </c>
      <c r="H340" s="2" t="s">
        <v>18</v>
      </c>
    </row>
    <row r="341">
      <c r="A341" s="2" t="s">
        <v>645</v>
      </c>
      <c r="B341" s="3">
        <v>44747.0</v>
      </c>
      <c r="C341" s="2" t="s">
        <v>251</v>
      </c>
      <c r="D341" s="2" t="s">
        <v>59</v>
      </c>
      <c r="E341" s="2">
        <v>7.0</v>
      </c>
      <c r="F341" s="2">
        <v>161.81</v>
      </c>
      <c r="G341" s="2">
        <v>1132.67</v>
      </c>
      <c r="H341" s="2" t="s">
        <v>25</v>
      </c>
    </row>
    <row r="342">
      <c r="A342" s="2" t="s">
        <v>646</v>
      </c>
      <c r="B342" s="3">
        <v>44588.0</v>
      </c>
      <c r="C342" s="2" t="s">
        <v>647</v>
      </c>
      <c r="D342" s="2" t="s">
        <v>24</v>
      </c>
      <c r="E342" s="2">
        <v>1.0</v>
      </c>
      <c r="F342" s="2">
        <v>90.5</v>
      </c>
      <c r="G342" s="2">
        <v>90.5</v>
      </c>
      <c r="H342" s="2" t="s">
        <v>11</v>
      </c>
    </row>
    <row r="343">
      <c r="A343" s="2" t="s">
        <v>648</v>
      </c>
      <c r="B343" s="3">
        <v>45159.0</v>
      </c>
      <c r="C343" s="2" t="s">
        <v>649</v>
      </c>
      <c r="D343" s="2" t="s">
        <v>155</v>
      </c>
      <c r="E343" s="2">
        <v>5.0</v>
      </c>
      <c r="F343" s="2">
        <v>109.31</v>
      </c>
      <c r="G343" s="2">
        <v>546.55</v>
      </c>
      <c r="H343" s="2" t="s">
        <v>25</v>
      </c>
    </row>
    <row r="344">
      <c r="A344" s="2" t="s">
        <v>650</v>
      </c>
      <c r="B344" s="3">
        <v>44987.0</v>
      </c>
      <c r="C344" s="2" t="s">
        <v>13</v>
      </c>
      <c r="D344" s="2" t="s">
        <v>17</v>
      </c>
      <c r="E344" s="2">
        <v>2.0</v>
      </c>
      <c r="F344" s="2">
        <v>115.76</v>
      </c>
      <c r="G344" s="2">
        <v>231.52</v>
      </c>
      <c r="H344" s="2" t="s">
        <v>18</v>
      </c>
    </row>
    <row r="345">
      <c r="A345" s="2" t="s">
        <v>651</v>
      </c>
      <c r="B345" s="3">
        <v>45830.0</v>
      </c>
      <c r="C345" s="2" t="s">
        <v>652</v>
      </c>
      <c r="D345" s="2" t="s">
        <v>41</v>
      </c>
      <c r="E345" s="2">
        <v>7.0</v>
      </c>
      <c r="F345" s="2">
        <v>54.76</v>
      </c>
      <c r="G345" s="2">
        <v>383.32</v>
      </c>
      <c r="H345" s="2" t="s">
        <v>18</v>
      </c>
    </row>
    <row r="346">
      <c r="A346" s="2" t="s">
        <v>653</v>
      </c>
      <c r="B346" s="3">
        <v>45241.0</v>
      </c>
      <c r="C346" s="2" t="s">
        <v>290</v>
      </c>
      <c r="D346" s="2" t="s">
        <v>31</v>
      </c>
      <c r="E346" s="2">
        <v>5.0</v>
      </c>
      <c r="F346" s="2">
        <v>100.65</v>
      </c>
      <c r="G346" s="2">
        <v>503.25</v>
      </c>
      <c r="H346" s="2" t="s">
        <v>18</v>
      </c>
    </row>
    <row r="347">
      <c r="A347" s="2" t="s">
        <v>654</v>
      </c>
      <c r="B347" s="3">
        <v>46014.0</v>
      </c>
      <c r="C347" s="2" t="s">
        <v>655</v>
      </c>
      <c r="D347" s="2" t="s">
        <v>133</v>
      </c>
      <c r="E347" s="2">
        <v>8.0</v>
      </c>
      <c r="F347" s="2">
        <v>143.58</v>
      </c>
      <c r="G347" s="2">
        <v>1148.64</v>
      </c>
      <c r="H347" s="2" t="s">
        <v>18</v>
      </c>
    </row>
    <row r="348">
      <c r="A348" s="2" t="s">
        <v>656</v>
      </c>
      <c r="B348" s="3">
        <v>44789.0</v>
      </c>
      <c r="C348" s="2" t="s">
        <v>657</v>
      </c>
      <c r="D348" s="2" t="s">
        <v>126</v>
      </c>
      <c r="E348" s="2">
        <v>8.0</v>
      </c>
      <c r="F348" s="2">
        <v>161.48</v>
      </c>
      <c r="G348" s="2">
        <v>1291.84</v>
      </c>
      <c r="H348" s="2" t="s">
        <v>25</v>
      </c>
    </row>
    <row r="349">
      <c r="A349" s="2" t="s">
        <v>658</v>
      </c>
      <c r="B349" s="3">
        <v>44622.0</v>
      </c>
      <c r="C349" s="2" t="s">
        <v>659</v>
      </c>
      <c r="D349" s="2" t="s">
        <v>277</v>
      </c>
      <c r="E349" s="2">
        <v>10.0</v>
      </c>
      <c r="F349" s="2">
        <v>35.91</v>
      </c>
      <c r="G349" s="2">
        <v>359.1</v>
      </c>
      <c r="H349" s="2" t="s">
        <v>38</v>
      </c>
    </row>
    <row r="350">
      <c r="A350" s="2" t="s">
        <v>660</v>
      </c>
      <c r="B350" s="3">
        <v>45290.0</v>
      </c>
      <c r="C350" s="2" t="s">
        <v>661</v>
      </c>
      <c r="D350" s="2" t="s">
        <v>68</v>
      </c>
      <c r="E350" s="2">
        <v>4.0</v>
      </c>
      <c r="F350" s="2">
        <v>59.18</v>
      </c>
      <c r="G350" s="2">
        <v>236.72</v>
      </c>
      <c r="H350" s="2" t="s">
        <v>38</v>
      </c>
    </row>
    <row r="351">
      <c r="A351" s="2" t="s">
        <v>662</v>
      </c>
      <c r="B351" s="3">
        <v>45192.0</v>
      </c>
      <c r="C351" s="2" t="s">
        <v>663</v>
      </c>
      <c r="D351" s="2" t="s">
        <v>237</v>
      </c>
      <c r="E351" s="2">
        <v>10.0</v>
      </c>
      <c r="F351" s="2">
        <v>164.53</v>
      </c>
      <c r="G351" s="2">
        <v>1645.3</v>
      </c>
      <c r="H351" s="2" t="s">
        <v>18</v>
      </c>
    </row>
    <row r="352">
      <c r="A352" s="2" t="s">
        <v>664</v>
      </c>
      <c r="B352" s="3">
        <v>45177.0</v>
      </c>
      <c r="C352" s="2" t="s">
        <v>150</v>
      </c>
      <c r="D352" s="2" t="s">
        <v>17</v>
      </c>
      <c r="E352" s="2">
        <v>4.0</v>
      </c>
      <c r="F352" s="2">
        <v>115.76</v>
      </c>
      <c r="G352" s="2">
        <v>463.04</v>
      </c>
      <c r="H352" s="2" t="s">
        <v>18</v>
      </c>
    </row>
    <row r="353">
      <c r="A353" s="2" t="s">
        <v>665</v>
      </c>
      <c r="B353" s="3">
        <v>45124.0</v>
      </c>
      <c r="C353" s="2" t="s">
        <v>666</v>
      </c>
      <c r="D353" s="2" t="s">
        <v>17</v>
      </c>
      <c r="E353" s="2">
        <v>5.0</v>
      </c>
      <c r="F353" s="2">
        <v>115.76</v>
      </c>
      <c r="G353" s="2">
        <v>578.8</v>
      </c>
      <c r="H353" s="2" t="s">
        <v>11</v>
      </c>
    </row>
    <row r="354">
      <c r="A354" s="2" t="s">
        <v>667</v>
      </c>
      <c r="B354" s="3">
        <v>44778.0</v>
      </c>
      <c r="C354" s="2" t="s">
        <v>668</v>
      </c>
      <c r="D354" s="2" t="s">
        <v>47</v>
      </c>
      <c r="E354" s="2">
        <v>4.0</v>
      </c>
      <c r="F354" s="2">
        <v>104.81</v>
      </c>
      <c r="G354" s="2">
        <v>419.24</v>
      </c>
      <c r="H354" s="2" t="s">
        <v>18</v>
      </c>
    </row>
    <row r="355">
      <c r="A355" s="2" t="s">
        <v>669</v>
      </c>
      <c r="B355" s="3">
        <v>44928.0</v>
      </c>
      <c r="C355" s="2" t="s">
        <v>236</v>
      </c>
      <c r="D355" s="2" t="s">
        <v>24</v>
      </c>
      <c r="E355" s="2">
        <v>4.0</v>
      </c>
      <c r="F355" s="2">
        <v>90.5</v>
      </c>
      <c r="G355" s="2">
        <v>362.0</v>
      </c>
      <c r="H355" s="2" t="s">
        <v>38</v>
      </c>
    </row>
    <row r="356">
      <c r="A356" s="2" t="s">
        <v>670</v>
      </c>
      <c r="B356" s="3">
        <v>45687.0</v>
      </c>
      <c r="C356" s="2" t="s">
        <v>112</v>
      </c>
      <c r="D356" s="2" t="s">
        <v>191</v>
      </c>
      <c r="E356" s="2">
        <v>8.0</v>
      </c>
      <c r="F356" s="2">
        <v>70.71</v>
      </c>
      <c r="G356" s="2">
        <v>565.68</v>
      </c>
      <c r="H356" s="2" t="s">
        <v>18</v>
      </c>
    </row>
    <row r="357">
      <c r="A357" s="2" t="s">
        <v>671</v>
      </c>
      <c r="B357" s="3">
        <v>44902.0</v>
      </c>
      <c r="C357" s="2" t="s">
        <v>672</v>
      </c>
      <c r="D357" s="2" t="s">
        <v>160</v>
      </c>
      <c r="E357" s="2">
        <v>9.0</v>
      </c>
      <c r="F357" s="2">
        <v>43.15</v>
      </c>
      <c r="G357" s="2">
        <v>388.35</v>
      </c>
      <c r="H357" s="2" t="s">
        <v>25</v>
      </c>
    </row>
    <row r="358">
      <c r="A358" s="2" t="s">
        <v>673</v>
      </c>
      <c r="B358" s="3">
        <v>45758.0</v>
      </c>
      <c r="C358" s="2" t="s">
        <v>674</v>
      </c>
      <c r="D358" s="2" t="s">
        <v>184</v>
      </c>
      <c r="E358" s="2">
        <v>9.0</v>
      </c>
      <c r="F358" s="2">
        <v>152.99</v>
      </c>
      <c r="G358" s="2">
        <v>1376.91</v>
      </c>
      <c r="H358" s="2" t="s">
        <v>18</v>
      </c>
    </row>
    <row r="359">
      <c r="A359" s="2" t="s">
        <v>675</v>
      </c>
      <c r="B359" s="3">
        <v>45413.0</v>
      </c>
      <c r="C359" s="2" t="s">
        <v>676</v>
      </c>
      <c r="D359" s="2" t="s">
        <v>237</v>
      </c>
      <c r="E359" s="2">
        <v>3.0</v>
      </c>
      <c r="F359" s="2">
        <v>164.53</v>
      </c>
      <c r="G359" s="2">
        <v>493.59</v>
      </c>
      <c r="H359" s="2" t="s">
        <v>18</v>
      </c>
    </row>
    <row r="360">
      <c r="A360" s="2" t="s">
        <v>677</v>
      </c>
      <c r="B360" s="3">
        <v>45420.0</v>
      </c>
      <c r="C360" s="2" t="s">
        <v>678</v>
      </c>
      <c r="D360" s="2" t="s">
        <v>76</v>
      </c>
      <c r="E360" s="2">
        <v>10.0</v>
      </c>
      <c r="F360" s="2">
        <v>52.33</v>
      </c>
      <c r="G360" s="2">
        <v>523.3</v>
      </c>
      <c r="H360" s="2" t="s">
        <v>11</v>
      </c>
    </row>
    <row r="361">
      <c r="A361" s="2" t="s">
        <v>679</v>
      </c>
      <c r="B361" s="3">
        <v>45220.0</v>
      </c>
      <c r="C361" s="2" t="s">
        <v>680</v>
      </c>
      <c r="D361" s="2" t="s">
        <v>89</v>
      </c>
      <c r="E361" s="2">
        <v>9.0</v>
      </c>
      <c r="F361" s="2">
        <v>73.93</v>
      </c>
      <c r="G361" s="2">
        <v>665.37</v>
      </c>
      <c r="H361" s="2" t="s">
        <v>38</v>
      </c>
    </row>
    <row r="362">
      <c r="A362" s="2" t="s">
        <v>681</v>
      </c>
      <c r="B362" s="3">
        <v>45799.0</v>
      </c>
      <c r="C362" s="2" t="s">
        <v>641</v>
      </c>
      <c r="D362" s="2" t="s">
        <v>76</v>
      </c>
      <c r="E362" s="2">
        <v>5.0</v>
      </c>
      <c r="F362" s="2">
        <v>52.33</v>
      </c>
      <c r="G362" s="2">
        <v>261.65</v>
      </c>
      <c r="H362" s="2" t="s">
        <v>38</v>
      </c>
    </row>
    <row r="363">
      <c r="A363" s="2" t="s">
        <v>682</v>
      </c>
      <c r="B363" s="3">
        <v>44774.0</v>
      </c>
      <c r="C363" s="2" t="s">
        <v>683</v>
      </c>
      <c r="D363" s="2" t="s">
        <v>21</v>
      </c>
      <c r="E363" s="2">
        <v>7.0</v>
      </c>
      <c r="F363" s="2">
        <v>144.69</v>
      </c>
      <c r="G363" s="2">
        <v>1012.83</v>
      </c>
      <c r="H363" s="2" t="s">
        <v>11</v>
      </c>
    </row>
    <row r="364">
      <c r="A364" s="2" t="s">
        <v>684</v>
      </c>
      <c r="B364" s="3">
        <v>45843.0</v>
      </c>
      <c r="C364" s="2" t="s">
        <v>685</v>
      </c>
      <c r="D364" s="2" t="s">
        <v>447</v>
      </c>
      <c r="E364" s="2">
        <v>8.0</v>
      </c>
      <c r="F364" s="2">
        <v>143.99</v>
      </c>
      <c r="G364" s="2">
        <v>1151.92</v>
      </c>
      <c r="H364" s="2" t="s">
        <v>18</v>
      </c>
    </row>
    <row r="365">
      <c r="A365" s="2" t="s">
        <v>686</v>
      </c>
      <c r="B365" s="3">
        <v>45368.0</v>
      </c>
      <c r="C365" s="2" t="s">
        <v>687</v>
      </c>
      <c r="D365" s="2" t="s">
        <v>92</v>
      </c>
      <c r="E365" s="2">
        <v>8.0</v>
      </c>
      <c r="F365" s="2">
        <v>37.05</v>
      </c>
      <c r="G365" s="2">
        <v>296.4</v>
      </c>
      <c r="H365" s="2" t="s">
        <v>11</v>
      </c>
    </row>
    <row r="366">
      <c r="A366" s="2" t="s">
        <v>688</v>
      </c>
      <c r="B366" s="3">
        <v>45768.0</v>
      </c>
      <c r="C366" s="2" t="s">
        <v>204</v>
      </c>
      <c r="D366" s="2" t="s">
        <v>315</v>
      </c>
      <c r="E366" s="2">
        <v>2.0</v>
      </c>
      <c r="F366" s="2">
        <v>89.45</v>
      </c>
      <c r="G366" s="2">
        <v>178.9</v>
      </c>
      <c r="H366" s="2" t="s">
        <v>25</v>
      </c>
    </row>
    <row r="367">
      <c r="A367" s="2" t="s">
        <v>689</v>
      </c>
      <c r="B367" s="3">
        <v>45073.0</v>
      </c>
      <c r="C367" s="2" t="s">
        <v>690</v>
      </c>
      <c r="D367" s="2" t="s">
        <v>68</v>
      </c>
      <c r="E367" s="2">
        <v>8.0</v>
      </c>
      <c r="F367" s="2">
        <v>59.18</v>
      </c>
      <c r="G367" s="2">
        <v>473.44</v>
      </c>
      <c r="H367" s="2" t="s">
        <v>18</v>
      </c>
    </row>
    <row r="368">
      <c r="A368" s="2" t="s">
        <v>691</v>
      </c>
      <c r="B368" s="3">
        <v>45255.0</v>
      </c>
      <c r="C368" s="2" t="s">
        <v>692</v>
      </c>
      <c r="D368" s="2" t="s">
        <v>175</v>
      </c>
      <c r="E368" s="2">
        <v>5.0</v>
      </c>
      <c r="F368" s="2">
        <v>138.68</v>
      </c>
      <c r="G368" s="2">
        <v>693.4</v>
      </c>
      <c r="H368" s="2" t="s">
        <v>25</v>
      </c>
    </row>
    <row r="369">
      <c r="A369" s="2" t="s">
        <v>693</v>
      </c>
      <c r="B369" s="3">
        <v>45579.0</v>
      </c>
      <c r="C369" s="2" t="s">
        <v>694</v>
      </c>
      <c r="D369" s="2" t="s">
        <v>118</v>
      </c>
      <c r="E369" s="2">
        <v>3.0</v>
      </c>
      <c r="F369" s="2">
        <v>131.34</v>
      </c>
      <c r="G369" s="2">
        <v>394.02</v>
      </c>
      <c r="H369" s="2" t="s">
        <v>25</v>
      </c>
    </row>
    <row r="370">
      <c r="A370" s="2" t="s">
        <v>695</v>
      </c>
      <c r="B370" s="3">
        <v>45078.0</v>
      </c>
      <c r="C370" s="2" t="s">
        <v>687</v>
      </c>
      <c r="D370" s="2" t="s">
        <v>59</v>
      </c>
      <c r="E370" s="2">
        <v>4.0</v>
      </c>
      <c r="F370" s="2">
        <v>161.81</v>
      </c>
      <c r="G370" s="2">
        <v>647.24</v>
      </c>
      <c r="H370" s="2" t="s">
        <v>25</v>
      </c>
    </row>
    <row r="371">
      <c r="A371" s="2" t="s">
        <v>696</v>
      </c>
      <c r="B371" s="3">
        <v>45631.0</v>
      </c>
      <c r="C371" s="2" t="s">
        <v>169</v>
      </c>
      <c r="D371" s="2" t="s">
        <v>37</v>
      </c>
      <c r="E371" s="2">
        <v>10.0</v>
      </c>
      <c r="F371" s="2">
        <v>156.45</v>
      </c>
      <c r="G371" s="2">
        <v>1564.5</v>
      </c>
      <c r="H371" s="2" t="s">
        <v>38</v>
      </c>
    </row>
    <row r="372">
      <c r="A372" s="2" t="s">
        <v>697</v>
      </c>
      <c r="B372" s="3">
        <v>44813.0</v>
      </c>
      <c r="C372" s="2" t="s">
        <v>99</v>
      </c>
      <c r="D372" s="2" t="s">
        <v>126</v>
      </c>
      <c r="E372" s="2">
        <v>4.0</v>
      </c>
      <c r="F372" s="2">
        <v>161.48</v>
      </c>
      <c r="G372" s="2">
        <v>645.92</v>
      </c>
      <c r="H372" s="2" t="s">
        <v>25</v>
      </c>
    </row>
    <row r="373">
      <c r="A373" s="2" t="s">
        <v>698</v>
      </c>
      <c r="B373" s="3">
        <v>45437.0</v>
      </c>
      <c r="C373" s="2" t="s">
        <v>433</v>
      </c>
      <c r="D373" s="2" t="s">
        <v>170</v>
      </c>
      <c r="E373" s="2">
        <v>5.0</v>
      </c>
      <c r="F373" s="2">
        <v>146.68</v>
      </c>
      <c r="G373" s="2">
        <v>733.4</v>
      </c>
      <c r="H373" s="2" t="s">
        <v>25</v>
      </c>
    </row>
    <row r="374">
      <c r="A374" s="2" t="s">
        <v>699</v>
      </c>
      <c r="B374" s="3">
        <v>44568.0</v>
      </c>
      <c r="C374" s="2" t="s">
        <v>405</v>
      </c>
      <c r="D374" s="2" t="s">
        <v>76</v>
      </c>
      <c r="E374" s="2">
        <v>1.0</v>
      </c>
      <c r="F374" s="2">
        <v>52.33</v>
      </c>
      <c r="G374" s="2">
        <v>52.33</v>
      </c>
      <c r="H374" s="2" t="s">
        <v>18</v>
      </c>
    </row>
    <row r="375">
      <c r="A375" s="2" t="s">
        <v>700</v>
      </c>
      <c r="B375" s="3">
        <v>45352.0</v>
      </c>
      <c r="C375" s="2" t="s">
        <v>36</v>
      </c>
      <c r="D375" s="2" t="s">
        <v>340</v>
      </c>
      <c r="E375" s="2">
        <v>10.0</v>
      </c>
      <c r="F375" s="2">
        <v>140.72</v>
      </c>
      <c r="G375" s="2">
        <v>1407.2</v>
      </c>
      <c r="H375" s="2" t="s">
        <v>11</v>
      </c>
    </row>
    <row r="376">
      <c r="A376" s="2" t="s">
        <v>701</v>
      </c>
      <c r="B376" s="3">
        <v>45724.0</v>
      </c>
      <c r="C376" s="2" t="s">
        <v>633</v>
      </c>
      <c r="D376" s="2" t="s">
        <v>52</v>
      </c>
      <c r="E376" s="2">
        <v>9.0</v>
      </c>
      <c r="F376" s="2">
        <v>133.47</v>
      </c>
      <c r="G376" s="2">
        <v>1201.23</v>
      </c>
      <c r="H376" s="2" t="s">
        <v>38</v>
      </c>
    </row>
    <row r="377">
      <c r="A377" s="2" t="s">
        <v>702</v>
      </c>
      <c r="B377" s="3">
        <v>44808.0</v>
      </c>
      <c r="C377" s="2" t="s">
        <v>140</v>
      </c>
      <c r="D377" s="2" t="s">
        <v>471</v>
      </c>
      <c r="E377" s="2">
        <v>7.0</v>
      </c>
      <c r="F377" s="2">
        <v>122.33</v>
      </c>
      <c r="G377" s="2">
        <v>856.31</v>
      </c>
      <c r="H377" s="2" t="s">
        <v>38</v>
      </c>
    </row>
    <row r="378">
      <c r="A378" s="2" t="s">
        <v>703</v>
      </c>
      <c r="B378" s="3">
        <v>45475.0</v>
      </c>
      <c r="C378" s="2" t="s">
        <v>125</v>
      </c>
      <c r="D378" s="2" t="s">
        <v>160</v>
      </c>
      <c r="E378" s="2">
        <v>9.0</v>
      </c>
      <c r="F378" s="2">
        <v>43.15</v>
      </c>
      <c r="G378" s="2">
        <v>388.35</v>
      </c>
      <c r="H378" s="2" t="s">
        <v>25</v>
      </c>
    </row>
    <row r="379">
      <c r="A379" s="2" t="s">
        <v>704</v>
      </c>
      <c r="B379" s="3">
        <v>44991.0</v>
      </c>
      <c r="C379" s="2" t="s">
        <v>705</v>
      </c>
      <c r="D379" s="2" t="s">
        <v>141</v>
      </c>
      <c r="E379" s="2">
        <v>8.0</v>
      </c>
      <c r="F379" s="2">
        <v>144.86</v>
      </c>
      <c r="G379" s="2">
        <v>1158.88</v>
      </c>
      <c r="H379" s="2" t="s">
        <v>18</v>
      </c>
    </row>
    <row r="380">
      <c r="A380" s="2" t="s">
        <v>706</v>
      </c>
      <c r="B380" s="3">
        <v>45380.0</v>
      </c>
      <c r="C380" s="2" t="s">
        <v>707</v>
      </c>
      <c r="D380" s="2" t="s">
        <v>138</v>
      </c>
      <c r="E380" s="2">
        <v>3.0</v>
      </c>
      <c r="F380" s="2">
        <v>193.29</v>
      </c>
      <c r="G380" s="2">
        <v>579.87</v>
      </c>
      <c r="H380" s="2" t="s">
        <v>11</v>
      </c>
    </row>
    <row r="381">
      <c r="A381" s="2" t="s">
        <v>708</v>
      </c>
      <c r="B381" s="3">
        <v>45830.0</v>
      </c>
      <c r="C381" s="2" t="s">
        <v>245</v>
      </c>
      <c r="D381" s="2" t="s">
        <v>202</v>
      </c>
      <c r="E381" s="2">
        <v>10.0</v>
      </c>
      <c r="F381" s="2">
        <v>159.7</v>
      </c>
      <c r="G381" s="2">
        <v>1597.0</v>
      </c>
      <c r="H381" s="2" t="s">
        <v>11</v>
      </c>
    </row>
    <row r="382">
      <c r="A382" s="2" t="s">
        <v>709</v>
      </c>
      <c r="B382" s="3">
        <v>45257.0</v>
      </c>
      <c r="C382" s="2" t="s">
        <v>117</v>
      </c>
      <c r="D382" s="2" t="s">
        <v>175</v>
      </c>
      <c r="E382" s="2">
        <v>2.0</v>
      </c>
      <c r="F382" s="2">
        <v>138.68</v>
      </c>
      <c r="G382" s="2">
        <v>277.36</v>
      </c>
      <c r="H382" s="2" t="s">
        <v>18</v>
      </c>
    </row>
    <row r="383">
      <c r="A383" s="2" t="s">
        <v>710</v>
      </c>
      <c r="B383" s="3">
        <v>45179.0</v>
      </c>
      <c r="C383" s="2" t="s">
        <v>363</v>
      </c>
      <c r="D383" s="2" t="s">
        <v>68</v>
      </c>
      <c r="E383" s="2">
        <v>9.0</v>
      </c>
      <c r="F383" s="2">
        <v>59.18</v>
      </c>
      <c r="G383" s="2">
        <v>532.62</v>
      </c>
      <c r="H383" s="2" t="s">
        <v>18</v>
      </c>
    </row>
    <row r="384">
      <c r="A384" s="2" t="s">
        <v>711</v>
      </c>
      <c r="B384" s="3">
        <v>45405.0</v>
      </c>
      <c r="C384" s="2" t="s">
        <v>578</v>
      </c>
      <c r="D384" s="2" t="s">
        <v>148</v>
      </c>
      <c r="E384" s="2">
        <v>4.0</v>
      </c>
      <c r="F384" s="2">
        <v>44.18</v>
      </c>
      <c r="G384" s="2">
        <v>176.72</v>
      </c>
      <c r="H384" s="2" t="s">
        <v>25</v>
      </c>
    </row>
    <row r="385">
      <c r="A385" s="2" t="s">
        <v>712</v>
      </c>
      <c r="B385" s="3">
        <v>45736.0</v>
      </c>
      <c r="C385" s="2" t="s">
        <v>713</v>
      </c>
      <c r="D385" s="2" t="s">
        <v>447</v>
      </c>
      <c r="E385" s="2">
        <v>2.0</v>
      </c>
      <c r="F385" s="2">
        <v>143.99</v>
      </c>
      <c r="G385" s="2">
        <v>287.98</v>
      </c>
      <c r="H385" s="2" t="s">
        <v>38</v>
      </c>
    </row>
    <row r="386">
      <c r="A386" s="2" t="s">
        <v>714</v>
      </c>
      <c r="B386" s="3">
        <v>44789.0</v>
      </c>
      <c r="C386" s="2" t="s">
        <v>363</v>
      </c>
      <c r="D386" s="2" t="s">
        <v>52</v>
      </c>
      <c r="E386" s="2">
        <v>1.0</v>
      </c>
      <c r="F386" s="2">
        <v>133.47</v>
      </c>
      <c r="G386" s="2">
        <v>133.47</v>
      </c>
      <c r="H386" s="2" t="s">
        <v>25</v>
      </c>
    </row>
    <row r="387">
      <c r="A387" s="2" t="s">
        <v>715</v>
      </c>
      <c r="B387" s="3">
        <v>45499.0</v>
      </c>
      <c r="C387" s="2" t="s">
        <v>451</v>
      </c>
      <c r="D387" s="2" t="s">
        <v>126</v>
      </c>
      <c r="E387" s="2">
        <v>10.0</v>
      </c>
      <c r="F387" s="2">
        <v>161.48</v>
      </c>
      <c r="G387" s="2">
        <v>1614.8</v>
      </c>
      <c r="H387" s="2" t="s">
        <v>38</v>
      </c>
    </row>
    <row r="388">
      <c r="A388" s="2" t="s">
        <v>716</v>
      </c>
      <c r="B388" s="3">
        <v>44874.0</v>
      </c>
      <c r="C388" s="2" t="s">
        <v>717</v>
      </c>
      <c r="D388" s="2" t="s">
        <v>141</v>
      </c>
      <c r="E388" s="2">
        <v>6.0</v>
      </c>
      <c r="F388" s="2">
        <v>144.86</v>
      </c>
      <c r="G388" s="2">
        <v>869.16</v>
      </c>
      <c r="H388" s="2" t="s">
        <v>38</v>
      </c>
    </row>
    <row r="389">
      <c r="A389" s="2" t="s">
        <v>718</v>
      </c>
      <c r="B389" s="3">
        <v>45577.0</v>
      </c>
      <c r="C389" s="2" t="s">
        <v>719</v>
      </c>
      <c r="D389" s="2" t="s">
        <v>14</v>
      </c>
      <c r="E389" s="2">
        <v>8.0</v>
      </c>
      <c r="F389" s="2">
        <v>75.41</v>
      </c>
      <c r="G389" s="2">
        <v>603.28</v>
      </c>
      <c r="H389" s="2" t="s">
        <v>11</v>
      </c>
    </row>
    <row r="390">
      <c r="A390" s="2" t="s">
        <v>720</v>
      </c>
      <c r="B390" s="3">
        <v>45130.0</v>
      </c>
      <c r="C390" s="2" t="s">
        <v>721</v>
      </c>
      <c r="D390" s="2" t="s">
        <v>14</v>
      </c>
      <c r="E390" s="2">
        <v>6.0</v>
      </c>
      <c r="F390" s="2">
        <v>75.41</v>
      </c>
      <c r="G390" s="2">
        <v>452.46</v>
      </c>
      <c r="H390" s="2" t="s">
        <v>18</v>
      </c>
    </row>
    <row r="391">
      <c r="A391" s="2" t="s">
        <v>722</v>
      </c>
      <c r="B391" s="3">
        <v>44824.0</v>
      </c>
      <c r="C391" s="2" t="s">
        <v>723</v>
      </c>
      <c r="D391" s="2" t="s">
        <v>126</v>
      </c>
      <c r="E391" s="2">
        <v>6.0</v>
      </c>
      <c r="F391" s="2">
        <v>161.48</v>
      </c>
      <c r="G391" s="2">
        <v>968.88</v>
      </c>
      <c r="H391" s="2" t="s">
        <v>18</v>
      </c>
    </row>
    <row r="392">
      <c r="A392" s="2" t="s">
        <v>724</v>
      </c>
      <c r="B392" s="3">
        <v>45317.0</v>
      </c>
      <c r="C392" s="2" t="s">
        <v>272</v>
      </c>
      <c r="D392" s="2" t="s">
        <v>82</v>
      </c>
      <c r="E392" s="2">
        <v>2.0</v>
      </c>
      <c r="F392" s="2">
        <v>190.65</v>
      </c>
      <c r="G392" s="2">
        <v>381.3</v>
      </c>
      <c r="H392" s="2" t="s">
        <v>25</v>
      </c>
    </row>
    <row r="393">
      <c r="A393" s="2" t="s">
        <v>725</v>
      </c>
      <c r="B393" s="3">
        <v>44719.0</v>
      </c>
      <c r="C393" s="2" t="s">
        <v>276</v>
      </c>
      <c r="D393" s="2" t="s">
        <v>133</v>
      </c>
      <c r="E393" s="2">
        <v>10.0</v>
      </c>
      <c r="F393" s="2">
        <v>143.58</v>
      </c>
      <c r="G393" s="2">
        <v>1435.8</v>
      </c>
      <c r="H393" s="2" t="s">
        <v>18</v>
      </c>
    </row>
    <row r="394">
      <c r="A394" s="2" t="s">
        <v>726</v>
      </c>
      <c r="B394" s="3">
        <v>46033.0</v>
      </c>
      <c r="C394" s="2" t="s">
        <v>727</v>
      </c>
      <c r="D394" s="2" t="s">
        <v>68</v>
      </c>
      <c r="E394" s="2">
        <v>1.0</v>
      </c>
      <c r="F394" s="2">
        <v>59.18</v>
      </c>
      <c r="G394" s="2">
        <v>59.18</v>
      </c>
      <c r="H394" s="2" t="s">
        <v>38</v>
      </c>
    </row>
    <row r="395">
      <c r="A395" s="2" t="s">
        <v>728</v>
      </c>
      <c r="B395" s="3">
        <v>45817.0</v>
      </c>
      <c r="C395" s="2" t="s">
        <v>729</v>
      </c>
      <c r="D395" s="2" t="s">
        <v>34</v>
      </c>
      <c r="E395" s="2">
        <v>8.0</v>
      </c>
      <c r="F395" s="2">
        <v>65.45</v>
      </c>
      <c r="G395" s="2">
        <v>523.6</v>
      </c>
      <c r="H395" s="2" t="s">
        <v>38</v>
      </c>
    </row>
    <row r="396">
      <c r="A396" s="2" t="s">
        <v>730</v>
      </c>
      <c r="B396" s="3">
        <v>45075.0</v>
      </c>
      <c r="C396" s="2" t="s">
        <v>731</v>
      </c>
      <c r="D396" s="2" t="s">
        <v>76</v>
      </c>
      <c r="E396" s="2">
        <v>1.0</v>
      </c>
      <c r="F396" s="2">
        <v>52.33</v>
      </c>
      <c r="G396" s="2">
        <v>52.33</v>
      </c>
      <c r="H396" s="2" t="s">
        <v>25</v>
      </c>
    </row>
    <row r="397">
      <c r="A397" s="2" t="s">
        <v>732</v>
      </c>
      <c r="B397" s="3">
        <v>45548.0</v>
      </c>
      <c r="C397" s="2" t="s">
        <v>733</v>
      </c>
      <c r="D397" s="2" t="s">
        <v>31</v>
      </c>
      <c r="E397" s="2">
        <v>4.0</v>
      </c>
      <c r="F397" s="2">
        <v>100.65</v>
      </c>
      <c r="G397" s="2">
        <v>402.6</v>
      </c>
      <c r="H397" s="2" t="s">
        <v>38</v>
      </c>
    </row>
    <row r="398">
      <c r="A398" s="2" t="s">
        <v>734</v>
      </c>
      <c r="B398" s="3">
        <v>46088.0</v>
      </c>
      <c r="C398" s="2" t="s">
        <v>619</v>
      </c>
      <c r="D398" s="2" t="s">
        <v>28</v>
      </c>
      <c r="E398" s="2">
        <v>2.0</v>
      </c>
      <c r="F398" s="2">
        <v>187.26</v>
      </c>
      <c r="G398" s="2">
        <v>374.52</v>
      </c>
      <c r="H398" s="2" t="s">
        <v>11</v>
      </c>
    </row>
    <row r="399">
      <c r="A399" s="2" t="s">
        <v>735</v>
      </c>
      <c r="B399" s="3">
        <v>44829.0</v>
      </c>
      <c r="C399" s="2" t="s">
        <v>736</v>
      </c>
      <c r="D399" s="2" t="s">
        <v>340</v>
      </c>
      <c r="E399" s="2">
        <v>3.0</v>
      </c>
      <c r="F399" s="2">
        <v>140.72</v>
      </c>
      <c r="G399" s="2">
        <v>422.16</v>
      </c>
      <c r="H399" s="2" t="s">
        <v>11</v>
      </c>
    </row>
    <row r="400">
      <c r="A400" s="2" t="s">
        <v>737</v>
      </c>
      <c r="B400" s="3">
        <v>44866.0</v>
      </c>
      <c r="C400" s="2" t="s">
        <v>738</v>
      </c>
      <c r="D400" s="2" t="s">
        <v>126</v>
      </c>
      <c r="E400" s="2">
        <v>4.0</v>
      </c>
      <c r="F400" s="2">
        <v>161.48</v>
      </c>
      <c r="G400" s="2">
        <v>645.92</v>
      </c>
      <c r="H400" s="2" t="s">
        <v>11</v>
      </c>
    </row>
    <row r="401">
      <c r="A401" s="2" t="s">
        <v>739</v>
      </c>
      <c r="B401" s="3">
        <v>44679.0</v>
      </c>
      <c r="C401" s="2" t="s">
        <v>738</v>
      </c>
      <c r="D401" s="2" t="s">
        <v>175</v>
      </c>
      <c r="E401" s="2">
        <v>4.0</v>
      </c>
      <c r="F401" s="2">
        <v>138.68</v>
      </c>
      <c r="G401" s="2">
        <v>554.72</v>
      </c>
      <c r="H401" s="2" t="s">
        <v>11</v>
      </c>
    </row>
    <row r="402">
      <c r="A402" s="2" t="s">
        <v>740</v>
      </c>
      <c r="B402" s="3">
        <v>45829.0</v>
      </c>
      <c r="C402" s="2" t="s">
        <v>36</v>
      </c>
      <c r="D402" s="2" t="s">
        <v>447</v>
      </c>
      <c r="E402" s="2">
        <v>3.0</v>
      </c>
      <c r="F402" s="2">
        <v>143.99</v>
      </c>
      <c r="G402" s="2">
        <v>431.97</v>
      </c>
      <c r="H402" s="2" t="s">
        <v>11</v>
      </c>
    </row>
    <row r="403">
      <c r="A403" s="2" t="s">
        <v>741</v>
      </c>
      <c r="B403" s="3">
        <v>45627.0</v>
      </c>
      <c r="C403" s="2" t="s">
        <v>564</v>
      </c>
      <c r="D403" s="2" t="s">
        <v>84</v>
      </c>
      <c r="E403" s="2">
        <v>4.0</v>
      </c>
      <c r="F403" s="2">
        <v>62.86</v>
      </c>
      <c r="G403" s="2">
        <v>251.44</v>
      </c>
      <c r="H403" s="2" t="s">
        <v>38</v>
      </c>
    </row>
    <row r="404">
      <c r="A404" s="2" t="s">
        <v>742</v>
      </c>
      <c r="B404" s="3">
        <v>44563.0</v>
      </c>
      <c r="C404" s="2" t="s">
        <v>225</v>
      </c>
      <c r="D404" s="2" t="s">
        <v>31</v>
      </c>
      <c r="E404" s="2">
        <v>4.0</v>
      </c>
      <c r="F404" s="2">
        <v>100.65</v>
      </c>
      <c r="G404" s="2">
        <v>402.6</v>
      </c>
      <c r="H404" s="2" t="s">
        <v>38</v>
      </c>
    </row>
    <row r="405">
      <c r="A405" s="2" t="s">
        <v>743</v>
      </c>
      <c r="B405" s="3">
        <v>44905.0</v>
      </c>
      <c r="C405" s="2" t="s">
        <v>744</v>
      </c>
      <c r="D405" s="2" t="s">
        <v>84</v>
      </c>
      <c r="E405" s="2">
        <v>9.0</v>
      </c>
      <c r="F405" s="2">
        <v>62.86</v>
      </c>
      <c r="G405" s="2">
        <v>565.74</v>
      </c>
      <c r="H405" s="2" t="s">
        <v>38</v>
      </c>
    </row>
    <row r="406">
      <c r="A406" s="2" t="s">
        <v>745</v>
      </c>
      <c r="B406" s="3">
        <v>44584.0</v>
      </c>
      <c r="C406" s="2" t="s">
        <v>503</v>
      </c>
      <c r="D406" s="2" t="s">
        <v>247</v>
      </c>
      <c r="E406" s="2">
        <v>1.0</v>
      </c>
      <c r="F406" s="2">
        <v>174.29</v>
      </c>
      <c r="G406" s="2">
        <v>174.29</v>
      </c>
      <c r="H406" s="2" t="s">
        <v>25</v>
      </c>
    </row>
    <row r="407">
      <c r="A407" s="2" t="s">
        <v>746</v>
      </c>
      <c r="B407" s="3">
        <v>45823.0</v>
      </c>
      <c r="C407" s="2" t="s">
        <v>747</v>
      </c>
      <c r="D407" s="2" t="s">
        <v>160</v>
      </c>
      <c r="E407" s="2">
        <v>8.0</v>
      </c>
      <c r="F407" s="2">
        <v>43.15</v>
      </c>
      <c r="G407" s="2">
        <v>345.2</v>
      </c>
      <c r="H407" s="2" t="s">
        <v>18</v>
      </c>
    </row>
    <row r="408">
      <c r="A408" s="2" t="s">
        <v>748</v>
      </c>
      <c r="B408" s="3">
        <v>46083.0</v>
      </c>
      <c r="C408" s="2" t="s">
        <v>749</v>
      </c>
      <c r="D408" s="2" t="s">
        <v>100</v>
      </c>
      <c r="E408" s="2">
        <v>7.0</v>
      </c>
      <c r="F408" s="2">
        <v>114.21</v>
      </c>
      <c r="G408" s="2">
        <v>799.47</v>
      </c>
      <c r="H408" s="2" t="s">
        <v>25</v>
      </c>
    </row>
    <row r="409">
      <c r="A409" s="2" t="s">
        <v>750</v>
      </c>
      <c r="B409" s="3">
        <v>45984.0</v>
      </c>
      <c r="C409" s="2" t="s">
        <v>751</v>
      </c>
      <c r="D409" s="2" t="s">
        <v>14</v>
      </c>
      <c r="E409" s="2">
        <v>3.0</v>
      </c>
      <c r="F409" s="2">
        <v>75.41</v>
      </c>
      <c r="G409" s="2">
        <v>226.23</v>
      </c>
      <c r="H409" s="2" t="s">
        <v>25</v>
      </c>
    </row>
    <row r="410">
      <c r="A410" s="2" t="s">
        <v>752</v>
      </c>
      <c r="B410" s="3">
        <v>44684.0</v>
      </c>
      <c r="C410" s="2" t="s">
        <v>753</v>
      </c>
      <c r="D410" s="2" t="s">
        <v>115</v>
      </c>
      <c r="E410" s="2">
        <v>1.0</v>
      </c>
      <c r="F410" s="2">
        <v>191.23</v>
      </c>
      <c r="G410" s="2">
        <v>191.23</v>
      </c>
      <c r="H410" s="2" t="s">
        <v>25</v>
      </c>
    </row>
    <row r="411">
      <c r="A411" s="2" t="s">
        <v>754</v>
      </c>
      <c r="B411" s="3">
        <v>46036.0</v>
      </c>
      <c r="C411" s="2" t="s">
        <v>755</v>
      </c>
      <c r="D411" s="2" t="s">
        <v>247</v>
      </c>
      <c r="E411" s="2">
        <v>10.0</v>
      </c>
      <c r="F411" s="2">
        <v>174.29</v>
      </c>
      <c r="G411" s="2">
        <v>1742.9</v>
      </c>
      <c r="H411" s="2" t="s">
        <v>25</v>
      </c>
    </row>
    <row r="412">
      <c r="A412" s="2" t="s">
        <v>756</v>
      </c>
      <c r="B412" s="3">
        <v>45798.0</v>
      </c>
      <c r="C412" s="2" t="s">
        <v>125</v>
      </c>
      <c r="D412" s="2" t="s">
        <v>92</v>
      </c>
      <c r="E412" s="2">
        <v>6.0</v>
      </c>
      <c r="F412" s="2">
        <v>37.05</v>
      </c>
      <c r="G412" s="2">
        <v>222.3</v>
      </c>
      <c r="H412" s="2" t="s">
        <v>38</v>
      </c>
    </row>
    <row r="413">
      <c r="A413" s="2" t="s">
        <v>757</v>
      </c>
      <c r="B413" s="3">
        <v>45202.0</v>
      </c>
      <c r="C413" s="2" t="s">
        <v>265</v>
      </c>
      <c r="D413" s="2" t="s">
        <v>24</v>
      </c>
      <c r="E413" s="2">
        <v>5.0</v>
      </c>
      <c r="F413" s="2">
        <v>90.5</v>
      </c>
      <c r="G413" s="2">
        <v>452.5</v>
      </c>
      <c r="H413" s="2" t="s">
        <v>38</v>
      </c>
    </row>
    <row r="414">
      <c r="A414" s="2" t="s">
        <v>758</v>
      </c>
      <c r="B414" s="3">
        <v>44835.0</v>
      </c>
      <c r="C414" s="2" t="s">
        <v>95</v>
      </c>
      <c r="D414" s="2" t="s">
        <v>170</v>
      </c>
      <c r="E414" s="2">
        <v>4.0</v>
      </c>
      <c r="F414" s="2">
        <v>146.68</v>
      </c>
      <c r="G414" s="2">
        <v>586.72</v>
      </c>
      <c r="H414" s="2" t="s">
        <v>11</v>
      </c>
    </row>
    <row r="415">
      <c r="A415" s="2" t="s">
        <v>759</v>
      </c>
      <c r="B415" s="3">
        <v>44595.0</v>
      </c>
      <c r="C415" s="2" t="s">
        <v>760</v>
      </c>
      <c r="D415" s="2" t="s">
        <v>21</v>
      </c>
      <c r="E415" s="2">
        <v>9.0</v>
      </c>
      <c r="F415" s="2">
        <v>144.69</v>
      </c>
      <c r="G415" s="2">
        <v>1302.21</v>
      </c>
      <c r="H415" s="2" t="s">
        <v>25</v>
      </c>
    </row>
    <row r="416">
      <c r="A416" s="2" t="s">
        <v>761</v>
      </c>
      <c r="B416" s="3">
        <v>44591.0</v>
      </c>
      <c r="C416" s="2" t="s">
        <v>762</v>
      </c>
      <c r="D416" s="2" t="s">
        <v>41</v>
      </c>
      <c r="E416" s="2">
        <v>9.0</v>
      </c>
      <c r="F416" s="2">
        <v>54.76</v>
      </c>
      <c r="G416" s="2">
        <v>492.84</v>
      </c>
      <c r="H416" s="2" t="s">
        <v>25</v>
      </c>
    </row>
    <row r="417">
      <c r="A417" s="2" t="s">
        <v>763</v>
      </c>
      <c r="B417" s="3">
        <v>45287.0</v>
      </c>
      <c r="C417" s="2" t="s">
        <v>764</v>
      </c>
      <c r="D417" s="2" t="s">
        <v>247</v>
      </c>
      <c r="E417" s="2">
        <v>5.0</v>
      </c>
      <c r="F417" s="2">
        <v>174.29</v>
      </c>
      <c r="G417" s="2">
        <v>871.45</v>
      </c>
      <c r="H417" s="2" t="s">
        <v>38</v>
      </c>
    </row>
    <row r="418">
      <c r="A418" s="2" t="s">
        <v>765</v>
      </c>
      <c r="B418" s="3">
        <v>45068.0</v>
      </c>
      <c r="C418" s="2" t="s">
        <v>766</v>
      </c>
      <c r="D418" s="2" t="s">
        <v>110</v>
      </c>
      <c r="E418" s="2">
        <v>2.0</v>
      </c>
      <c r="F418" s="2">
        <v>74.83</v>
      </c>
      <c r="G418" s="2">
        <v>149.66</v>
      </c>
      <c r="H418" s="2" t="s">
        <v>11</v>
      </c>
    </row>
    <row r="419">
      <c r="A419" s="2" t="s">
        <v>767</v>
      </c>
      <c r="B419" s="3">
        <v>44721.0</v>
      </c>
      <c r="C419" s="2" t="s">
        <v>766</v>
      </c>
      <c r="D419" s="2" t="s">
        <v>41</v>
      </c>
      <c r="E419" s="2">
        <v>2.0</v>
      </c>
      <c r="F419" s="2">
        <v>54.76</v>
      </c>
      <c r="G419" s="2">
        <v>109.52</v>
      </c>
      <c r="H419" s="2" t="s">
        <v>25</v>
      </c>
    </row>
    <row r="420">
      <c r="A420" s="2" t="s">
        <v>768</v>
      </c>
      <c r="B420" s="3">
        <v>45293.0</v>
      </c>
      <c r="C420" s="2" t="s">
        <v>769</v>
      </c>
      <c r="D420" s="2" t="s">
        <v>155</v>
      </c>
      <c r="E420" s="2">
        <v>7.0</v>
      </c>
      <c r="F420" s="2">
        <v>109.31</v>
      </c>
      <c r="G420" s="2">
        <v>765.17</v>
      </c>
      <c r="H420" s="2" t="s">
        <v>25</v>
      </c>
    </row>
    <row r="421">
      <c r="A421" s="2" t="s">
        <v>770</v>
      </c>
      <c r="B421" s="3">
        <v>46013.0</v>
      </c>
      <c r="C421" s="2" t="s">
        <v>771</v>
      </c>
      <c r="D421" s="2" t="s">
        <v>170</v>
      </c>
      <c r="E421" s="2">
        <v>10.0</v>
      </c>
      <c r="F421" s="2">
        <v>146.68</v>
      </c>
      <c r="G421" s="2">
        <v>1466.8</v>
      </c>
      <c r="H421" s="2" t="s">
        <v>18</v>
      </c>
    </row>
    <row r="422">
      <c r="A422" s="2" t="s">
        <v>772</v>
      </c>
      <c r="B422" s="3">
        <v>45985.0</v>
      </c>
      <c r="C422" s="2" t="s">
        <v>610</v>
      </c>
      <c r="D422" s="2" t="s">
        <v>223</v>
      </c>
      <c r="E422" s="2">
        <v>4.0</v>
      </c>
      <c r="F422" s="2">
        <v>170.73</v>
      </c>
      <c r="G422" s="2">
        <v>682.92</v>
      </c>
      <c r="H422" s="2" t="s">
        <v>25</v>
      </c>
    </row>
    <row r="423">
      <c r="A423" s="2" t="s">
        <v>773</v>
      </c>
      <c r="B423" s="3">
        <v>45421.0</v>
      </c>
      <c r="C423" s="2" t="s">
        <v>774</v>
      </c>
      <c r="D423" s="2" t="s">
        <v>73</v>
      </c>
      <c r="E423" s="2">
        <v>2.0</v>
      </c>
      <c r="F423" s="2">
        <v>82.34</v>
      </c>
      <c r="G423" s="2">
        <v>164.68</v>
      </c>
      <c r="H423" s="2" t="s">
        <v>18</v>
      </c>
    </row>
    <row r="424">
      <c r="A424" s="2" t="s">
        <v>775</v>
      </c>
      <c r="B424" s="3">
        <v>44876.0</v>
      </c>
      <c r="C424" s="2" t="s">
        <v>776</v>
      </c>
      <c r="D424" s="2" t="s">
        <v>447</v>
      </c>
      <c r="E424" s="2">
        <v>6.0</v>
      </c>
      <c r="F424" s="2">
        <v>143.99</v>
      </c>
      <c r="G424" s="2">
        <v>863.94</v>
      </c>
      <c r="H424" s="2" t="s">
        <v>38</v>
      </c>
    </row>
    <row r="425">
      <c r="A425" s="2" t="s">
        <v>777</v>
      </c>
      <c r="B425" s="3">
        <v>45125.0</v>
      </c>
      <c r="C425" s="2" t="s">
        <v>778</v>
      </c>
      <c r="D425" s="2" t="s">
        <v>138</v>
      </c>
      <c r="E425" s="2">
        <v>7.0</v>
      </c>
      <c r="F425" s="2">
        <v>193.29</v>
      </c>
      <c r="G425" s="2">
        <v>1353.03</v>
      </c>
      <c r="H425" s="2" t="s">
        <v>25</v>
      </c>
    </row>
    <row r="426">
      <c r="A426" s="2" t="s">
        <v>779</v>
      </c>
      <c r="B426" s="3">
        <v>44707.0</v>
      </c>
      <c r="C426" s="2" t="s">
        <v>780</v>
      </c>
      <c r="D426" s="2" t="s">
        <v>84</v>
      </c>
      <c r="E426" s="2">
        <v>9.0</v>
      </c>
      <c r="F426" s="2">
        <v>62.86</v>
      </c>
      <c r="G426" s="2">
        <v>565.74</v>
      </c>
      <c r="H426" s="2" t="s">
        <v>18</v>
      </c>
    </row>
    <row r="427">
      <c r="A427" s="2" t="s">
        <v>781</v>
      </c>
      <c r="B427" s="3">
        <v>45587.0</v>
      </c>
      <c r="C427" s="2" t="s">
        <v>643</v>
      </c>
      <c r="D427" s="2" t="s">
        <v>141</v>
      </c>
      <c r="E427" s="2">
        <v>7.0</v>
      </c>
      <c r="F427" s="2">
        <v>144.86</v>
      </c>
      <c r="G427" s="2">
        <v>1014.02</v>
      </c>
      <c r="H427" s="2" t="s">
        <v>18</v>
      </c>
    </row>
    <row r="428">
      <c r="A428" s="2" t="s">
        <v>782</v>
      </c>
      <c r="B428" s="3">
        <v>45410.0</v>
      </c>
      <c r="C428" s="2" t="s">
        <v>783</v>
      </c>
      <c r="D428" s="2" t="s">
        <v>17</v>
      </c>
      <c r="E428" s="2">
        <v>6.0</v>
      </c>
      <c r="F428" s="2">
        <v>115.76</v>
      </c>
      <c r="G428" s="2">
        <v>694.56</v>
      </c>
      <c r="H428" s="2" t="s">
        <v>25</v>
      </c>
    </row>
    <row r="429">
      <c r="A429" s="2" t="s">
        <v>784</v>
      </c>
      <c r="B429" s="3">
        <v>45403.0</v>
      </c>
      <c r="C429" s="2" t="s">
        <v>785</v>
      </c>
      <c r="D429" s="2" t="s">
        <v>370</v>
      </c>
      <c r="E429" s="2">
        <v>2.0</v>
      </c>
      <c r="F429" s="2">
        <v>73.45</v>
      </c>
      <c r="G429" s="2">
        <v>146.9</v>
      </c>
      <c r="H429" s="2" t="s">
        <v>38</v>
      </c>
    </row>
    <row r="430">
      <c r="A430" s="2" t="s">
        <v>786</v>
      </c>
      <c r="B430" s="3">
        <v>45107.0</v>
      </c>
      <c r="C430" s="2" t="s">
        <v>9</v>
      </c>
      <c r="D430" s="2" t="s">
        <v>73</v>
      </c>
      <c r="E430" s="2">
        <v>4.0</v>
      </c>
      <c r="F430" s="2">
        <v>82.34</v>
      </c>
      <c r="G430" s="2">
        <v>329.36</v>
      </c>
      <c r="H430" s="2" t="s">
        <v>38</v>
      </c>
    </row>
    <row r="431">
      <c r="A431" s="2" t="s">
        <v>787</v>
      </c>
      <c r="B431" s="3">
        <v>44897.0</v>
      </c>
      <c r="C431" s="2" t="s">
        <v>766</v>
      </c>
      <c r="D431" s="2" t="s">
        <v>237</v>
      </c>
      <c r="E431" s="2">
        <v>8.0</v>
      </c>
      <c r="F431" s="2">
        <v>164.53</v>
      </c>
      <c r="G431" s="2">
        <v>1316.24</v>
      </c>
      <c r="H431" s="2" t="s">
        <v>25</v>
      </c>
    </row>
    <row r="432">
      <c r="A432" s="2" t="s">
        <v>788</v>
      </c>
      <c r="B432" s="3">
        <v>45608.0</v>
      </c>
      <c r="C432" s="2" t="s">
        <v>789</v>
      </c>
      <c r="D432" s="2" t="s">
        <v>447</v>
      </c>
      <c r="E432" s="2">
        <v>9.0</v>
      </c>
      <c r="F432" s="2">
        <v>143.99</v>
      </c>
      <c r="G432" s="2">
        <v>1295.91</v>
      </c>
      <c r="H432" s="2" t="s">
        <v>18</v>
      </c>
    </row>
    <row r="433">
      <c r="A433" s="2" t="s">
        <v>790</v>
      </c>
      <c r="B433" s="3">
        <v>45270.0</v>
      </c>
      <c r="C433" s="2" t="s">
        <v>791</v>
      </c>
      <c r="D433" s="2" t="s">
        <v>79</v>
      </c>
      <c r="E433" s="2">
        <v>7.0</v>
      </c>
      <c r="F433" s="2">
        <v>183.75</v>
      </c>
      <c r="G433" s="2">
        <v>1286.25</v>
      </c>
      <c r="H433" s="2" t="s">
        <v>11</v>
      </c>
    </row>
    <row r="434">
      <c r="A434" s="2" t="s">
        <v>792</v>
      </c>
      <c r="B434" s="3">
        <v>44716.0</v>
      </c>
      <c r="C434" s="2" t="s">
        <v>389</v>
      </c>
      <c r="D434" s="2" t="s">
        <v>47</v>
      </c>
      <c r="E434" s="2">
        <v>4.0</v>
      </c>
      <c r="F434" s="2">
        <v>104.81</v>
      </c>
      <c r="G434" s="2">
        <v>419.24</v>
      </c>
      <c r="H434" s="2" t="s">
        <v>25</v>
      </c>
    </row>
    <row r="435">
      <c r="A435" s="2" t="s">
        <v>793</v>
      </c>
      <c r="B435" s="3">
        <v>44566.0</v>
      </c>
      <c r="C435" s="2" t="s">
        <v>794</v>
      </c>
      <c r="D435" s="2" t="s">
        <v>34</v>
      </c>
      <c r="E435" s="2">
        <v>3.0</v>
      </c>
      <c r="F435" s="2">
        <v>65.45</v>
      </c>
      <c r="G435" s="2">
        <v>196.35</v>
      </c>
      <c r="H435" s="2" t="s">
        <v>38</v>
      </c>
    </row>
    <row r="436">
      <c r="A436" s="2" t="s">
        <v>795</v>
      </c>
      <c r="B436" s="3">
        <v>45892.0</v>
      </c>
      <c r="C436" s="2" t="s">
        <v>796</v>
      </c>
      <c r="D436" s="2" t="s">
        <v>167</v>
      </c>
      <c r="E436" s="2">
        <v>10.0</v>
      </c>
      <c r="F436" s="2">
        <v>94.59</v>
      </c>
      <c r="G436" s="2">
        <v>945.9</v>
      </c>
      <c r="H436" s="2" t="s">
        <v>18</v>
      </c>
    </row>
    <row r="437">
      <c r="A437" s="2" t="s">
        <v>797</v>
      </c>
      <c r="B437" s="3">
        <v>45991.0</v>
      </c>
      <c r="C437" s="2" t="s">
        <v>379</v>
      </c>
      <c r="D437" s="2" t="s">
        <v>47</v>
      </c>
      <c r="E437" s="2">
        <v>8.0</v>
      </c>
      <c r="F437" s="2">
        <v>104.81</v>
      </c>
      <c r="G437" s="2">
        <v>838.48</v>
      </c>
      <c r="H437" s="2" t="s">
        <v>38</v>
      </c>
    </row>
    <row r="438">
      <c r="A438" s="2" t="s">
        <v>798</v>
      </c>
      <c r="B438" s="3">
        <v>46042.0</v>
      </c>
      <c r="C438" s="2" t="s">
        <v>13</v>
      </c>
      <c r="D438" s="2" t="s">
        <v>148</v>
      </c>
      <c r="E438" s="2">
        <v>3.0</v>
      </c>
      <c r="F438" s="2">
        <v>44.18</v>
      </c>
      <c r="G438" s="2">
        <v>132.54</v>
      </c>
      <c r="H438" s="2" t="s">
        <v>38</v>
      </c>
    </row>
    <row r="439">
      <c r="A439" s="2" t="s">
        <v>799</v>
      </c>
      <c r="B439" s="3">
        <v>45822.0</v>
      </c>
      <c r="C439" s="2" t="s">
        <v>800</v>
      </c>
      <c r="D439" s="2" t="s">
        <v>118</v>
      </c>
      <c r="E439" s="2">
        <v>1.0</v>
      </c>
      <c r="F439" s="2">
        <v>131.34</v>
      </c>
      <c r="G439" s="2">
        <v>131.34</v>
      </c>
      <c r="H439" s="2" t="s">
        <v>11</v>
      </c>
    </row>
    <row r="440">
      <c r="A440" s="2" t="s">
        <v>801</v>
      </c>
      <c r="B440" s="3">
        <v>45975.0</v>
      </c>
      <c r="C440" s="2" t="s">
        <v>802</v>
      </c>
      <c r="D440" s="2" t="s">
        <v>21</v>
      </c>
      <c r="E440" s="2">
        <v>10.0</v>
      </c>
      <c r="F440" s="2">
        <v>144.69</v>
      </c>
      <c r="G440" s="2">
        <v>1446.9</v>
      </c>
      <c r="H440" s="2" t="s">
        <v>25</v>
      </c>
    </row>
    <row r="441">
      <c r="A441" s="2" t="s">
        <v>803</v>
      </c>
      <c r="B441" s="3">
        <v>45308.0</v>
      </c>
      <c r="C441" s="2" t="s">
        <v>762</v>
      </c>
      <c r="D441" s="2" t="s">
        <v>340</v>
      </c>
      <c r="E441" s="2">
        <v>5.0</v>
      </c>
      <c r="F441" s="2">
        <v>140.72</v>
      </c>
      <c r="G441" s="2">
        <v>703.6</v>
      </c>
      <c r="H441" s="2" t="s">
        <v>38</v>
      </c>
    </row>
    <row r="442">
      <c r="A442" s="2" t="s">
        <v>804</v>
      </c>
      <c r="B442" s="3">
        <v>45988.0</v>
      </c>
      <c r="C442" s="2" t="s">
        <v>302</v>
      </c>
      <c r="D442" s="2" t="s">
        <v>28</v>
      </c>
      <c r="E442" s="2">
        <v>5.0</v>
      </c>
      <c r="F442" s="2">
        <v>187.26</v>
      </c>
      <c r="G442" s="2">
        <v>936.3</v>
      </c>
      <c r="H442" s="2" t="s">
        <v>11</v>
      </c>
    </row>
    <row r="443">
      <c r="A443" s="2" t="s">
        <v>805</v>
      </c>
      <c r="B443" s="3">
        <v>45008.0</v>
      </c>
      <c r="C443" s="2" t="s">
        <v>325</v>
      </c>
      <c r="D443" s="2" t="s">
        <v>126</v>
      </c>
      <c r="E443" s="2">
        <v>3.0</v>
      </c>
      <c r="F443" s="2">
        <v>161.48</v>
      </c>
      <c r="G443" s="2">
        <v>484.44</v>
      </c>
      <c r="H443" s="2" t="s">
        <v>25</v>
      </c>
    </row>
    <row r="444">
      <c r="A444" s="2" t="s">
        <v>806</v>
      </c>
      <c r="B444" s="3">
        <v>44765.0</v>
      </c>
      <c r="C444" s="2" t="s">
        <v>290</v>
      </c>
      <c r="D444" s="2" t="s">
        <v>471</v>
      </c>
      <c r="E444" s="2">
        <v>5.0</v>
      </c>
      <c r="F444" s="2">
        <v>122.33</v>
      </c>
      <c r="G444" s="2">
        <v>611.65</v>
      </c>
      <c r="H444" s="2" t="s">
        <v>38</v>
      </c>
    </row>
    <row r="445">
      <c r="A445" s="2" t="s">
        <v>807</v>
      </c>
      <c r="B445" s="3">
        <v>44764.0</v>
      </c>
      <c r="C445" s="2" t="s">
        <v>808</v>
      </c>
      <c r="D445" s="2" t="s">
        <v>155</v>
      </c>
      <c r="E445" s="2">
        <v>5.0</v>
      </c>
      <c r="F445" s="2">
        <v>109.31</v>
      </c>
      <c r="G445" s="2">
        <v>546.55</v>
      </c>
      <c r="H445" s="2" t="s">
        <v>18</v>
      </c>
    </row>
    <row r="446">
      <c r="A446" s="2" t="s">
        <v>809</v>
      </c>
      <c r="B446" s="3">
        <v>45566.0</v>
      </c>
      <c r="C446" s="2" t="s">
        <v>810</v>
      </c>
      <c r="D446" s="2" t="s">
        <v>105</v>
      </c>
      <c r="E446" s="2">
        <v>6.0</v>
      </c>
      <c r="F446" s="2">
        <v>128.23</v>
      </c>
      <c r="G446" s="2">
        <v>769.38</v>
      </c>
      <c r="H446" s="2" t="s">
        <v>25</v>
      </c>
    </row>
    <row r="447">
      <c r="A447" s="2" t="s">
        <v>811</v>
      </c>
      <c r="B447" s="3">
        <v>45886.0</v>
      </c>
      <c r="C447" s="2" t="s">
        <v>812</v>
      </c>
      <c r="D447" s="2" t="s">
        <v>370</v>
      </c>
      <c r="E447" s="2">
        <v>7.0</v>
      </c>
      <c r="F447" s="2">
        <v>73.45</v>
      </c>
      <c r="G447" s="2">
        <v>514.15</v>
      </c>
      <c r="H447" s="2" t="s">
        <v>18</v>
      </c>
    </row>
    <row r="448">
      <c r="A448" s="2" t="s">
        <v>813</v>
      </c>
      <c r="B448" s="3">
        <v>45707.0</v>
      </c>
      <c r="C448" s="2" t="s">
        <v>814</v>
      </c>
      <c r="D448" s="2" t="s">
        <v>184</v>
      </c>
      <c r="E448" s="2">
        <v>3.0</v>
      </c>
      <c r="F448" s="2">
        <v>152.99</v>
      </c>
      <c r="G448" s="2">
        <v>458.97</v>
      </c>
      <c r="H448" s="2" t="s">
        <v>38</v>
      </c>
    </row>
    <row r="449">
      <c r="A449" s="2" t="s">
        <v>815</v>
      </c>
      <c r="B449" s="3">
        <v>45404.0</v>
      </c>
      <c r="C449" s="2" t="s">
        <v>135</v>
      </c>
      <c r="D449" s="2" t="s">
        <v>79</v>
      </c>
      <c r="E449" s="2">
        <v>8.0</v>
      </c>
      <c r="F449" s="2">
        <v>183.75</v>
      </c>
      <c r="G449" s="2">
        <v>1470.0</v>
      </c>
      <c r="H449" s="2" t="s">
        <v>18</v>
      </c>
    </row>
    <row r="450">
      <c r="A450" s="2" t="s">
        <v>816</v>
      </c>
      <c r="B450" s="3">
        <v>45656.0</v>
      </c>
      <c r="C450" s="2" t="s">
        <v>817</v>
      </c>
      <c r="D450" s="2" t="s">
        <v>79</v>
      </c>
      <c r="E450" s="2">
        <v>10.0</v>
      </c>
      <c r="F450" s="2">
        <v>183.75</v>
      </c>
      <c r="G450" s="2">
        <v>1837.5</v>
      </c>
      <c r="H450" s="2" t="s">
        <v>11</v>
      </c>
    </row>
    <row r="451">
      <c r="A451" s="2" t="s">
        <v>818</v>
      </c>
      <c r="B451" s="3">
        <v>46079.0</v>
      </c>
      <c r="C451" s="2" t="s">
        <v>216</v>
      </c>
      <c r="D451" s="2" t="s">
        <v>105</v>
      </c>
      <c r="E451" s="2">
        <v>8.0</v>
      </c>
      <c r="F451" s="2">
        <v>128.23</v>
      </c>
      <c r="G451" s="2">
        <v>1025.84</v>
      </c>
      <c r="H451" s="2" t="s">
        <v>25</v>
      </c>
    </row>
    <row r="452">
      <c r="A452" s="2" t="s">
        <v>819</v>
      </c>
      <c r="B452" s="3">
        <v>44812.0</v>
      </c>
      <c r="C452" s="2" t="s">
        <v>132</v>
      </c>
      <c r="D452" s="2" t="s">
        <v>138</v>
      </c>
      <c r="E452" s="2">
        <v>5.0</v>
      </c>
      <c r="F452" s="2">
        <v>193.29</v>
      </c>
      <c r="G452" s="2">
        <v>966.45</v>
      </c>
      <c r="H452" s="2" t="s">
        <v>38</v>
      </c>
    </row>
    <row r="453">
      <c r="A453" s="2" t="s">
        <v>820</v>
      </c>
      <c r="B453" s="3">
        <v>45774.0</v>
      </c>
      <c r="C453" s="2" t="s">
        <v>821</v>
      </c>
      <c r="D453" s="2" t="s">
        <v>247</v>
      </c>
      <c r="E453" s="2">
        <v>2.0</v>
      </c>
      <c r="F453" s="2">
        <v>174.29</v>
      </c>
      <c r="G453" s="2">
        <v>348.58</v>
      </c>
      <c r="H453" s="2" t="s">
        <v>38</v>
      </c>
    </row>
    <row r="454">
      <c r="A454" s="2" t="s">
        <v>822</v>
      </c>
      <c r="B454" s="3">
        <v>44963.0</v>
      </c>
      <c r="C454" s="2" t="s">
        <v>823</v>
      </c>
      <c r="D454" s="2" t="s">
        <v>47</v>
      </c>
      <c r="E454" s="2">
        <v>10.0</v>
      </c>
      <c r="F454" s="2">
        <v>104.81</v>
      </c>
      <c r="G454" s="2">
        <v>1048.1</v>
      </c>
      <c r="H454" s="2" t="s">
        <v>38</v>
      </c>
    </row>
    <row r="455">
      <c r="A455" s="2" t="s">
        <v>824</v>
      </c>
      <c r="B455" s="3">
        <v>45502.0</v>
      </c>
      <c r="C455" s="2" t="s">
        <v>285</v>
      </c>
      <c r="D455" s="2" t="s">
        <v>447</v>
      </c>
      <c r="E455" s="2">
        <v>5.0</v>
      </c>
      <c r="F455" s="2">
        <v>143.99</v>
      </c>
      <c r="G455" s="2">
        <v>719.95</v>
      </c>
      <c r="H455" s="2" t="s">
        <v>25</v>
      </c>
    </row>
    <row r="456">
      <c r="A456" s="2" t="s">
        <v>825</v>
      </c>
      <c r="B456" s="3">
        <v>45224.0</v>
      </c>
      <c r="C456" s="2" t="s">
        <v>826</v>
      </c>
      <c r="D456" s="2" t="s">
        <v>148</v>
      </c>
      <c r="E456" s="2">
        <v>6.0</v>
      </c>
      <c r="F456" s="2">
        <v>44.18</v>
      </c>
      <c r="G456" s="2">
        <v>265.08</v>
      </c>
      <c r="H456" s="2" t="s">
        <v>18</v>
      </c>
    </row>
    <row r="457">
      <c r="A457" s="2" t="s">
        <v>827</v>
      </c>
      <c r="B457" s="3">
        <v>45736.0</v>
      </c>
      <c r="C457" s="2" t="s">
        <v>505</v>
      </c>
      <c r="D457" s="2" t="s">
        <v>148</v>
      </c>
      <c r="E457" s="2">
        <v>8.0</v>
      </c>
      <c r="F457" s="2">
        <v>44.18</v>
      </c>
      <c r="G457" s="2">
        <v>353.44</v>
      </c>
      <c r="H457" s="2" t="s">
        <v>11</v>
      </c>
    </row>
    <row r="458">
      <c r="A458" s="2" t="s">
        <v>828</v>
      </c>
      <c r="B458" s="3">
        <v>45613.0</v>
      </c>
      <c r="C458" s="2" t="s">
        <v>652</v>
      </c>
      <c r="D458" s="2" t="s">
        <v>148</v>
      </c>
      <c r="E458" s="2">
        <v>6.0</v>
      </c>
      <c r="F458" s="2">
        <v>44.18</v>
      </c>
      <c r="G458" s="2">
        <v>265.08</v>
      </c>
      <c r="H458" s="2" t="s">
        <v>11</v>
      </c>
    </row>
    <row r="459">
      <c r="A459" s="2" t="s">
        <v>829</v>
      </c>
      <c r="B459" s="3">
        <v>45311.0</v>
      </c>
      <c r="C459" s="2" t="s">
        <v>830</v>
      </c>
      <c r="D459" s="2" t="s">
        <v>47</v>
      </c>
      <c r="E459" s="2">
        <v>1.0</v>
      </c>
      <c r="F459" s="2">
        <v>104.81</v>
      </c>
      <c r="G459" s="2">
        <v>104.81</v>
      </c>
      <c r="H459" s="2" t="s">
        <v>18</v>
      </c>
    </row>
    <row r="460">
      <c r="A460" s="2" t="s">
        <v>831</v>
      </c>
      <c r="B460" s="3">
        <v>45994.0</v>
      </c>
      <c r="C460" s="2" t="s">
        <v>510</v>
      </c>
      <c r="D460" s="2" t="s">
        <v>73</v>
      </c>
      <c r="E460" s="2">
        <v>4.0</v>
      </c>
      <c r="F460" s="2">
        <v>82.34</v>
      </c>
      <c r="G460" s="2">
        <v>329.36</v>
      </c>
      <c r="H460" s="2" t="s">
        <v>11</v>
      </c>
    </row>
    <row r="461">
      <c r="A461" s="2" t="s">
        <v>832</v>
      </c>
      <c r="B461" s="3">
        <v>45782.0</v>
      </c>
      <c r="C461" s="2" t="s">
        <v>833</v>
      </c>
      <c r="D461" s="2" t="s">
        <v>110</v>
      </c>
      <c r="E461" s="2">
        <v>1.0</v>
      </c>
      <c r="F461" s="2">
        <v>74.83</v>
      </c>
      <c r="G461" s="2">
        <v>74.83</v>
      </c>
      <c r="H461" s="2" t="s">
        <v>11</v>
      </c>
    </row>
    <row r="462">
      <c r="A462" s="2" t="s">
        <v>834</v>
      </c>
      <c r="B462" s="3">
        <v>44908.0</v>
      </c>
      <c r="C462" s="2" t="s">
        <v>835</v>
      </c>
      <c r="D462" s="2" t="s">
        <v>105</v>
      </c>
      <c r="E462" s="2">
        <v>1.0</v>
      </c>
      <c r="F462" s="2">
        <v>128.23</v>
      </c>
      <c r="G462" s="2">
        <v>128.23</v>
      </c>
      <c r="H462" s="2" t="s">
        <v>11</v>
      </c>
    </row>
    <row r="463">
      <c r="A463" s="2" t="s">
        <v>836</v>
      </c>
      <c r="B463" s="3">
        <v>44788.0</v>
      </c>
      <c r="C463" s="2" t="s">
        <v>837</v>
      </c>
      <c r="D463" s="2" t="s">
        <v>59</v>
      </c>
      <c r="E463" s="2">
        <v>3.0</v>
      </c>
      <c r="F463" s="2">
        <v>161.81</v>
      </c>
      <c r="G463" s="2">
        <v>485.43</v>
      </c>
      <c r="H463" s="2" t="s">
        <v>25</v>
      </c>
    </row>
    <row r="464">
      <c r="A464" s="2" t="s">
        <v>838</v>
      </c>
      <c r="B464" s="3">
        <v>45080.0</v>
      </c>
      <c r="C464" s="2" t="s">
        <v>839</v>
      </c>
      <c r="D464" s="2" t="s">
        <v>100</v>
      </c>
      <c r="E464" s="2">
        <v>1.0</v>
      </c>
      <c r="F464" s="2">
        <v>114.21</v>
      </c>
      <c r="G464" s="2">
        <v>114.21</v>
      </c>
      <c r="H464" s="2" t="s">
        <v>18</v>
      </c>
    </row>
    <row r="465">
      <c r="A465" s="2" t="s">
        <v>840</v>
      </c>
      <c r="B465" s="3">
        <v>45610.0</v>
      </c>
      <c r="C465" s="2" t="s">
        <v>635</v>
      </c>
      <c r="D465" s="2" t="s">
        <v>79</v>
      </c>
      <c r="E465" s="2">
        <v>1.0</v>
      </c>
      <c r="F465" s="2">
        <v>183.75</v>
      </c>
      <c r="G465" s="2">
        <v>183.75</v>
      </c>
      <c r="H465" s="2" t="s">
        <v>25</v>
      </c>
    </row>
    <row r="466">
      <c r="A466" s="2" t="s">
        <v>841</v>
      </c>
      <c r="B466" s="3">
        <v>45931.0</v>
      </c>
      <c r="C466" s="2" t="s">
        <v>225</v>
      </c>
      <c r="D466" s="2" t="s">
        <v>237</v>
      </c>
      <c r="E466" s="2">
        <v>8.0</v>
      </c>
      <c r="F466" s="2">
        <v>164.53</v>
      </c>
      <c r="G466" s="2">
        <v>1316.24</v>
      </c>
      <c r="H466" s="2" t="s">
        <v>11</v>
      </c>
    </row>
    <row r="467">
      <c r="A467" s="2" t="s">
        <v>842</v>
      </c>
      <c r="B467" s="3">
        <v>44998.0</v>
      </c>
      <c r="C467" s="2" t="s">
        <v>843</v>
      </c>
      <c r="D467" s="2" t="s">
        <v>138</v>
      </c>
      <c r="E467" s="2">
        <v>1.0</v>
      </c>
      <c r="F467" s="2">
        <v>193.29</v>
      </c>
      <c r="G467" s="2">
        <v>193.29</v>
      </c>
      <c r="H467" s="2" t="s">
        <v>38</v>
      </c>
    </row>
    <row r="468">
      <c r="A468" s="2" t="s">
        <v>844</v>
      </c>
      <c r="B468" s="3">
        <v>45489.0</v>
      </c>
      <c r="C468" s="2" t="s">
        <v>845</v>
      </c>
      <c r="D468" s="2" t="s">
        <v>370</v>
      </c>
      <c r="E468" s="2">
        <v>7.0</v>
      </c>
      <c r="F468" s="2">
        <v>73.45</v>
      </c>
      <c r="G468" s="2">
        <v>514.15</v>
      </c>
      <c r="H468" s="2" t="s">
        <v>38</v>
      </c>
    </row>
    <row r="469">
      <c r="A469" s="2" t="s">
        <v>846</v>
      </c>
      <c r="B469" s="3">
        <v>45175.0</v>
      </c>
      <c r="C469" s="2" t="s">
        <v>578</v>
      </c>
      <c r="D469" s="2" t="s">
        <v>115</v>
      </c>
      <c r="E469" s="2">
        <v>10.0</v>
      </c>
      <c r="F469" s="2">
        <v>191.23</v>
      </c>
      <c r="G469" s="2">
        <v>1912.3</v>
      </c>
      <c r="H469" s="2" t="s">
        <v>25</v>
      </c>
    </row>
    <row r="470">
      <c r="A470" s="2" t="s">
        <v>847</v>
      </c>
      <c r="B470" s="3">
        <v>44742.0</v>
      </c>
      <c r="C470" s="2" t="s">
        <v>848</v>
      </c>
      <c r="D470" s="2" t="s">
        <v>148</v>
      </c>
      <c r="E470" s="2">
        <v>7.0</v>
      </c>
      <c r="F470" s="2">
        <v>44.18</v>
      </c>
      <c r="G470" s="2">
        <v>309.26</v>
      </c>
      <c r="H470" s="2" t="s">
        <v>25</v>
      </c>
    </row>
    <row r="471">
      <c r="A471" s="2" t="s">
        <v>849</v>
      </c>
      <c r="B471" s="3">
        <v>44908.0</v>
      </c>
      <c r="C471" s="2" t="s">
        <v>241</v>
      </c>
      <c r="D471" s="2" t="s">
        <v>123</v>
      </c>
      <c r="E471" s="2">
        <v>3.0</v>
      </c>
      <c r="F471" s="2">
        <v>52.53</v>
      </c>
      <c r="G471" s="2">
        <v>157.59</v>
      </c>
      <c r="H471" s="2" t="s">
        <v>38</v>
      </c>
    </row>
    <row r="472">
      <c r="A472" s="2" t="s">
        <v>850</v>
      </c>
      <c r="B472" s="3">
        <v>45246.0</v>
      </c>
      <c r="C472" s="2" t="s">
        <v>851</v>
      </c>
      <c r="D472" s="2" t="s">
        <v>28</v>
      </c>
      <c r="E472" s="2">
        <v>4.0</v>
      </c>
      <c r="F472" s="2">
        <v>187.26</v>
      </c>
      <c r="G472" s="2">
        <v>749.04</v>
      </c>
      <c r="H472" s="2" t="s">
        <v>25</v>
      </c>
    </row>
    <row r="473">
      <c r="A473" s="2" t="s">
        <v>852</v>
      </c>
      <c r="B473" s="3">
        <v>45667.0</v>
      </c>
      <c r="C473" s="2" t="s">
        <v>300</v>
      </c>
      <c r="D473" s="2" t="s">
        <v>191</v>
      </c>
      <c r="E473" s="2">
        <v>10.0</v>
      </c>
      <c r="F473" s="2">
        <v>70.71</v>
      </c>
      <c r="G473" s="2">
        <v>707.1</v>
      </c>
      <c r="H473" s="2" t="s">
        <v>25</v>
      </c>
    </row>
    <row r="474">
      <c r="A474" s="2" t="s">
        <v>853</v>
      </c>
      <c r="B474" s="3">
        <v>45581.0</v>
      </c>
      <c r="C474" s="2" t="s">
        <v>130</v>
      </c>
      <c r="D474" s="2" t="s">
        <v>89</v>
      </c>
      <c r="E474" s="2">
        <v>9.0</v>
      </c>
      <c r="F474" s="2">
        <v>73.93</v>
      </c>
      <c r="G474" s="2">
        <v>665.37</v>
      </c>
      <c r="H474" s="2" t="s">
        <v>18</v>
      </c>
    </row>
    <row r="475">
      <c r="A475" s="2" t="s">
        <v>854</v>
      </c>
      <c r="B475" s="3">
        <v>45808.0</v>
      </c>
      <c r="C475" s="2" t="s">
        <v>855</v>
      </c>
      <c r="D475" s="2" t="s">
        <v>24</v>
      </c>
      <c r="E475" s="2">
        <v>7.0</v>
      </c>
      <c r="F475" s="2">
        <v>90.5</v>
      </c>
      <c r="G475" s="2">
        <v>633.5</v>
      </c>
      <c r="H475" s="2" t="s">
        <v>25</v>
      </c>
    </row>
    <row r="476">
      <c r="A476" s="2" t="s">
        <v>856</v>
      </c>
      <c r="B476" s="3">
        <v>45346.0</v>
      </c>
      <c r="C476" s="2" t="s">
        <v>857</v>
      </c>
      <c r="D476" s="2" t="s">
        <v>141</v>
      </c>
      <c r="E476" s="2">
        <v>8.0</v>
      </c>
      <c r="F476" s="2">
        <v>144.86</v>
      </c>
      <c r="G476" s="2">
        <v>1158.88</v>
      </c>
      <c r="H476" s="2" t="s">
        <v>25</v>
      </c>
    </row>
    <row r="477">
      <c r="A477" s="2" t="s">
        <v>858</v>
      </c>
      <c r="B477" s="3">
        <v>45904.0</v>
      </c>
      <c r="C477" s="2" t="s">
        <v>859</v>
      </c>
      <c r="D477" s="2" t="s">
        <v>118</v>
      </c>
      <c r="E477" s="2">
        <v>10.0</v>
      </c>
      <c r="F477" s="2">
        <v>131.34</v>
      </c>
      <c r="G477" s="2">
        <v>1313.4</v>
      </c>
      <c r="H477" s="2" t="s">
        <v>11</v>
      </c>
    </row>
    <row r="478">
      <c r="A478" s="2" t="s">
        <v>860</v>
      </c>
      <c r="B478" s="3">
        <v>45451.0</v>
      </c>
      <c r="C478" s="2" t="s">
        <v>570</v>
      </c>
      <c r="D478" s="2" t="s">
        <v>17</v>
      </c>
      <c r="E478" s="2">
        <v>10.0</v>
      </c>
      <c r="F478" s="2">
        <v>115.76</v>
      </c>
      <c r="G478" s="2">
        <v>1157.6</v>
      </c>
      <c r="H478" s="2" t="s">
        <v>11</v>
      </c>
    </row>
    <row r="479">
      <c r="A479" s="2" t="s">
        <v>861</v>
      </c>
      <c r="B479" s="3">
        <v>46060.0</v>
      </c>
      <c r="C479" s="2" t="s">
        <v>556</v>
      </c>
      <c r="D479" s="2" t="s">
        <v>184</v>
      </c>
      <c r="E479" s="2">
        <v>5.0</v>
      </c>
      <c r="F479" s="2">
        <v>152.99</v>
      </c>
      <c r="G479" s="2">
        <v>764.95</v>
      </c>
      <c r="H479" s="2" t="s">
        <v>25</v>
      </c>
    </row>
    <row r="480">
      <c r="A480" s="2" t="s">
        <v>862</v>
      </c>
      <c r="B480" s="3">
        <v>45313.0</v>
      </c>
      <c r="C480" s="2" t="s">
        <v>863</v>
      </c>
      <c r="D480" s="2" t="s">
        <v>28</v>
      </c>
      <c r="E480" s="2">
        <v>3.0</v>
      </c>
      <c r="F480" s="2">
        <v>187.26</v>
      </c>
      <c r="G480" s="2">
        <v>561.78</v>
      </c>
      <c r="H480" s="2" t="s">
        <v>11</v>
      </c>
    </row>
    <row r="481">
      <c r="A481" s="2" t="s">
        <v>864</v>
      </c>
      <c r="B481" s="3">
        <v>44790.0</v>
      </c>
      <c r="C481" s="2" t="s">
        <v>865</v>
      </c>
      <c r="D481" s="2" t="s">
        <v>100</v>
      </c>
      <c r="E481" s="2">
        <v>5.0</v>
      </c>
      <c r="F481" s="2">
        <v>114.21</v>
      </c>
      <c r="G481" s="2">
        <v>571.05</v>
      </c>
      <c r="H481" s="2" t="s">
        <v>18</v>
      </c>
    </row>
    <row r="482">
      <c r="A482" s="2" t="s">
        <v>866</v>
      </c>
      <c r="B482" s="3">
        <v>46010.0</v>
      </c>
      <c r="C482" s="2" t="s">
        <v>329</v>
      </c>
      <c r="D482" s="2" t="s">
        <v>277</v>
      </c>
      <c r="E482" s="2">
        <v>2.0</v>
      </c>
      <c r="F482" s="2">
        <v>35.91</v>
      </c>
      <c r="G482" s="2">
        <v>71.82</v>
      </c>
      <c r="H482" s="2" t="s">
        <v>18</v>
      </c>
    </row>
    <row r="483">
      <c r="A483" s="2" t="s">
        <v>867</v>
      </c>
      <c r="B483" s="3">
        <v>45552.0</v>
      </c>
      <c r="C483" s="2" t="s">
        <v>868</v>
      </c>
      <c r="D483" s="2" t="s">
        <v>37</v>
      </c>
      <c r="E483" s="2">
        <v>7.0</v>
      </c>
      <c r="F483" s="2">
        <v>156.45</v>
      </c>
      <c r="G483" s="2">
        <v>1095.15</v>
      </c>
      <c r="H483" s="2" t="s">
        <v>18</v>
      </c>
    </row>
    <row r="484">
      <c r="A484" s="2" t="s">
        <v>869</v>
      </c>
      <c r="B484" s="3">
        <v>45129.0</v>
      </c>
      <c r="C484" s="2" t="s">
        <v>870</v>
      </c>
      <c r="D484" s="2" t="s">
        <v>126</v>
      </c>
      <c r="E484" s="2">
        <v>5.0</v>
      </c>
      <c r="F484" s="2">
        <v>161.48</v>
      </c>
      <c r="G484" s="2">
        <v>807.4</v>
      </c>
      <c r="H484" s="2" t="s">
        <v>11</v>
      </c>
    </row>
    <row r="485">
      <c r="A485" s="2" t="s">
        <v>871</v>
      </c>
      <c r="B485" s="3">
        <v>44696.0</v>
      </c>
      <c r="C485" s="2" t="s">
        <v>493</v>
      </c>
      <c r="D485" s="2" t="s">
        <v>247</v>
      </c>
      <c r="E485" s="2">
        <v>9.0</v>
      </c>
      <c r="F485" s="2">
        <v>174.29</v>
      </c>
      <c r="G485" s="2">
        <v>1568.61</v>
      </c>
      <c r="H485" s="2" t="s">
        <v>25</v>
      </c>
    </row>
    <row r="486">
      <c r="A486" s="2" t="s">
        <v>872</v>
      </c>
      <c r="B486" s="3">
        <v>45895.0</v>
      </c>
      <c r="C486" s="2" t="s">
        <v>104</v>
      </c>
      <c r="D486" s="2" t="s">
        <v>21</v>
      </c>
      <c r="E486" s="2">
        <v>2.0</v>
      </c>
      <c r="F486" s="2">
        <v>144.69</v>
      </c>
      <c r="G486" s="2">
        <v>289.38</v>
      </c>
      <c r="H486" s="2" t="s">
        <v>18</v>
      </c>
    </row>
    <row r="487">
      <c r="A487" s="2" t="s">
        <v>873</v>
      </c>
      <c r="B487" s="3">
        <v>45628.0</v>
      </c>
      <c r="C487" s="2" t="s">
        <v>874</v>
      </c>
      <c r="D487" s="2" t="s">
        <v>14</v>
      </c>
      <c r="E487" s="2">
        <v>2.0</v>
      </c>
      <c r="F487" s="2">
        <v>75.41</v>
      </c>
      <c r="G487" s="2">
        <v>150.82</v>
      </c>
      <c r="H487" s="2" t="s">
        <v>18</v>
      </c>
    </row>
    <row r="488">
      <c r="A488" s="2" t="s">
        <v>875</v>
      </c>
      <c r="B488" s="3">
        <v>45363.0</v>
      </c>
      <c r="C488" s="2" t="s">
        <v>876</v>
      </c>
      <c r="D488" s="2" t="s">
        <v>84</v>
      </c>
      <c r="E488" s="2">
        <v>5.0</v>
      </c>
      <c r="F488" s="2">
        <v>62.86</v>
      </c>
      <c r="G488" s="2">
        <v>314.3</v>
      </c>
      <c r="H488" s="2" t="s">
        <v>18</v>
      </c>
    </row>
    <row r="489">
      <c r="A489" s="2" t="s">
        <v>877</v>
      </c>
      <c r="B489" s="3">
        <v>45759.0</v>
      </c>
      <c r="C489" s="2" t="s">
        <v>33</v>
      </c>
      <c r="D489" s="2" t="s">
        <v>123</v>
      </c>
      <c r="E489" s="2">
        <v>3.0</v>
      </c>
      <c r="F489" s="2">
        <v>52.53</v>
      </c>
      <c r="G489" s="2">
        <v>157.59</v>
      </c>
      <c r="H489" s="2" t="s">
        <v>38</v>
      </c>
    </row>
    <row r="490">
      <c r="A490" s="2" t="s">
        <v>878</v>
      </c>
      <c r="B490" s="3">
        <v>44837.0</v>
      </c>
      <c r="C490" s="2" t="s">
        <v>879</v>
      </c>
      <c r="D490" s="2" t="s">
        <v>10</v>
      </c>
      <c r="E490" s="2">
        <v>1.0</v>
      </c>
      <c r="F490" s="2">
        <v>83.01</v>
      </c>
      <c r="G490" s="2">
        <v>83.01</v>
      </c>
      <c r="H490" s="2" t="s">
        <v>38</v>
      </c>
    </row>
    <row r="491">
      <c r="A491" s="2" t="s">
        <v>880</v>
      </c>
      <c r="B491" s="3">
        <v>44670.0</v>
      </c>
      <c r="C491" s="2" t="s">
        <v>349</v>
      </c>
      <c r="D491" s="2" t="s">
        <v>202</v>
      </c>
      <c r="E491" s="2">
        <v>7.0</v>
      </c>
      <c r="F491" s="2">
        <v>159.7</v>
      </c>
      <c r="G491" s="2">
        <v>1117.9</v>
      </c>
      <c r="H491" s="2" t="s">
        <v>25</v>
      </c>
    </row>
    <row r="492">
      <c r="A492" s="2" t="s">
        <v>881</v>
      </c>
      <c r="B492" s="3">
        <v>45578.0</v>
      </c>
      <c r="C492" s="2" t="s">
        <v>468</v>
      </c>
      <c r="D492" s="2" t="s">
        <v>76</v>
      </c>
      <c r="E492" s="2">
        <v>4.0</v>
      </c>
      <c r="F492" s="2">
        <v>52.33</v>
      </c>
      <c r="G492" s="2">
        <v>209.32</v>
      </c>
      <c r="H492" s="2" t="s">
        <v>18</v>
      </c>
    </row>
    <row r="493">
      <c r="A493" s="2" t="s">
        <v>882</v>
      </c>
      <c r="B493" s="3">
        <v>45161.0</v>
      </c>
      <c r="C493" s="2" t="s">
        <v>883</v>
      </c>
      <c r="D493" s="2" t="s">
        <v>14</v>
      </c>
      <c r="E493" s="2">
        <v>6.0</v>
      </c>
      <c r="F493" s="2">
        <v>75.41</v>
      </c>
      <c r="G493" s="2">
        <v>452.46</v>
      </c>
      <c r="H493" s="2" t="s">
        <v>25</v>
      </c>
    </row>
    <row r="494">
      <c r="A494" s="2" t="s">
        <v>884</v>
      </c>
      <c r="B494" s="3">
        <v>45662.0</v>
      </c>
      <c r="C494" s="2" t="s">
        <v>885</v>
      </c>
      <c r="D494" s="2" t="s">
        <v>28</v>
      </c>
      <c r="E494" s="2">
        <v>3.0</v>
      </c>
      <c r="F494" s="2">
        <v>187.26</v>
      </c>
      <c r="G494" s="2">
        <v>561.78</v>
      </c>
      <c r="H494" s="2" t="s">
        <v>38</v>
      </c>
    </row>
    <row r="495">
      <c r="A495" s="2" t="s">
        <v>886</v>
      </c>
      <c r="B495" s="3">
        <v>44628.0</v>
      </c>
      <c r="C495" s="2" t="s">
        <v>27</v>
      </c>
      <c r="D495" s="2" t="s">
        <v>148</v>
      </c>
      <c r="E495" s="2">
        <v>1.0</v>
      </c>
      <c r="F495" s="2">
        <v>44.18</v>
      </c>
      <c r="G495" s="2">
        <v>44.18</v>
      </c>
      <c r="H495" s="2" t="s">
        <v>25</v>
      </c>
    </row>
    <row r="496">
      <c r="A496" s="2" t="s">
        <v>887</v>
      </c>
      <c r="B496" s="3">
        <v>44883.0</v>
      </c>
      <c r="C496" s="2" t="s">
        <v>503</v>
      </c>
      <c r="D496" s="2" t="s">
        <v>28</v>
      </c>
      <c r="E496" s="2">
        <v>9.0</v>
      </c>
      <c r="F496" s="2">
        <v>187.26</v>
      </c>
      <c r="G496" s="2">
        <v>1685.34</v>
      </c>
      <c r="H496" s="2" t="s">
        <v>11</v>
      </c>
    </row>
    <row r="497">
      <c r="A497" s="2" t="s">
        <v>888</v>
      </c>
      <c r="B497" s="3">
        <v>45392.0</v>
      </c>
      <c r="C497" s="2" t="s">
        <v>356</v>
      </c>
      <c r="D497" s="2" t="s">
        <v>10</v>
      </c>
      <c r="E497" s="2">
        <v>7.0</v>
      </c>
      <c r="F497" s="2">
        <v>83.01</v>
      </c>
      <c r="G497" s="2">
        <v>581.07</v>
      </c>
      <c r="H497" s="2" t="s">
        <v>25</v>
      </c>
    </row>
    <row r="498">
      <c r="A498" s="2" t="s">
        <v>889</v>
      </c>
      <c r="B498" s="3">
        <v>46076.0</v>
      </c>
      <c r="C498" s="2" t="s">
        <v>890</v>
      </c>
      <c r="D498" s="2" t="s">
        <v>79</v>
      </c>
      <c r="E498" s="2">
        <v>7.0</v>
      </c>
      <c r="F498" s="2">
        <v>183.75</v>
      </c>
      <c r="G498" s="2">
        <v>1286.25</v>
      </c>
      <c r="H498" s="2" t="s">
        <v>38</v>
      </c>
    </row>
    <row r="499">
      <c r="A499" s="2" t="s">
        <v>891</v>
      </c>
      <c r="B499" s="3">
        <v>45071.0</v>
      </c>
      <c r="C499" s="2" t="s">
        <v>159</v>
      </c>
      <c r="D499" s="2" t="s">
        <v>202</v>
      </c>
      <c r="E499" s="2">
        <v>6.0</v>
      </c>
      <c r="F499" s="2">
        <v>159.7</v>
      </c>
      <c r="G499" s="2">
        <v>958.2</v>
      </c>
      <c r="H499" s="2" t="s">
        <v>11</v>
      </c>
    </row>
    <row r="500">
      <c r="A500" s="2" t="s">
        <v>892</v>
      </c>
      <c r="B500" s="3">
        <v>45819.0</v>
      </c>
      <c r="C500" s="2" t="s">
        <v>300</v>
      </c>
      <c r="D500" s="2" t="s">
        <v>44</v>
      </c>
      <c r="E500" s="2">
        <v>5.0</v>
      </c>
      <c r="F500" s="2">
        <v>160.49</v>
      </c>
      <c r="G500" s="2">
        <v>802.45</v>
      </c>
      <c r="H500" s="2" t="s">
        <v>18</v>
      </c>
    </row>
    <row r="501">
      <c r="A501" s="2" t="s">
        <v>893</v>
      </c>
      <c r="B501" s="3">
        <v>45435.0</v>
      </c>
      <c r="C501" s="2" t="s">
        <v>130</v>
      </c>
      <c r="D501" s="2" t="s">
        <v>202</v>
      </c>
      <c r="E501" s="2">
        <v>9.0</v>
      </c>
      <c r="F501" s="2">
        <v>159.7</v>
      </c>
      <c r="G501" s="2">
        <v>1437.3</v>
      </c>
      <c r="H501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894</v>
      </c>
      <c r="B1" s="4" t="s">
        <v>895</v>
      </c>
    </row>
    <row r="2">
      <c r="A2" s="5" t="str">
        <f t="array" ref="A2:A333">UNIQUE(RawData!C2:C500)</f>
        <v>C2265</v>
      </c>
      <c r="B2" s="6" t="s">
        <v>896</v>
      </c>
    </row>
    <row r="3">
      <c r="A3" s="5" t="s">
        <v>13</v>
      </c>
      <c r="B3" s="6" t="s">
        <v>897</v>
      </c>
    </row>
    <row r="4">
      <c r="A4" s="5" t="s">
        <v>16</v>
      </c>
      <c r="B4" s="6" t="s">
        <v>898</v>
      </c>
    </row>
    <row r="5">
      <c r="A5" s="5" t="s">
        <v>20</v>
      </c>
      <c r="B5" s="6" t="s">
        <v>899</v>
      </c>
    </row>
    <row r="6">
      <c r="A6" s="5" t="s">
        <v>23</v>
      </c>
      <c r="B6" s="6" t="s">
        <v>900</v>
      </c>
    </row>
    <row r="7">
      <c r="A7" s="5" t="s">
        <v>27</v>
      </c>
      <c r="B7" s="6" t="s">
        <v>901</v>
      </c>
    </row>
    <row r="8">
      <c r="A8" s="5" t="s">
        <v>30</v>
      </c>
      <c r="B8" s="6" t="s">
        <v>902</v>
      </c>
    </row>
    <row r="9">
      <c r="A9" s="5" t="s">
        <v>33</v>
      </c>
      <c r="B9" s="6" t="s">
        <v>903</v>
      </c>
    </row>
    <row r="10">
      <c r="A10" s="5" t="s">
        <v>36</v>
      </c>
      <c r="B10" s="6" t="s">
        <v>904</v>
      </c>
    </row>
    <row r="11">
      <c r="A11" s="5" t="s">
        <v>40</v>
      </c>
      <c r="B11" s="6" t="s">
        <v>905</v>
      </c>
    </row>
    <row r="12">
      <c r="A12" s="5" t="s">
        <v>43</v>
      </c>
      <c r="B12" s="6" t="s">
        <v>906</v>
      </c>
    </row>
    <row r="13">
      <c r="A13" s="5" t="s">
        <v>46</v>
      </c>
      <c r="B13" s="6" t="s">
        <v>907</v>
      </c>
    </row>
    <row r="14">
      <c r="A14" s="5" t="s">
        <v>49</v>
      </c>
      <c r="B14" s="6" t="s">
        <v>908</v>
      </c>
    </row>
    <row r="15">
      <c r="A15" s="5" t="s">
        <v>51</v>
      </c>
      <c r="B15" s="6" t="s">
        <v>909</v>
      </c>
    </row>
    <row r="16">
      <c r="A16" s="5" t="s">
        <v>54</v>
      </c>
      <c r="B16" s="6" t="s">
        <v>910</v>
      </c>
    </row>
    <row r="17">
      <c r="A17" s="5" t="s">
        <v>56</v>
      </c>
      <c r="B17" s="6" t="s">
        <v>911</v>
      </c>
    </row>
    <row r="18">
      <c r="A18" s="5" t="s">
        <v>58</v>
      </c>
      <c r="B18" s="6" t="s">
        <v>912</v>
      </c>
    </row>
    <row r="19">
      <c r="A19" s="5" t="s">
        <v>61</v>
      </c>
      <c r="B19" s="6" t="s">
        <v>913</v>
      </c>
    </row>
    <row r="20">
      <c r="A20" s="5" t="s">
        <v>63</v>
      </c>
      <c r="B20" s="6" t="s">
        <v>914</v>
      </c>
    </row>
    <row r="21">
      <c r="A21" s="5" t="s">
        <v>65</v>
      </c>
      <c r="B21" s="6" t="s">
        <v>915</v>
      </c>
    </row>
    <row r="22">
      <c r="A22" s="5" t="s">
        <v>67</v>
      </c>
      <c r="B22" s="6" t="s">
        <v>916</v>
      </c>
    </row>
    <row r="23">
      <c r="A23" s="5" t="s">
        <v>70</v>
      </c>
      <c r="B23" s="6" t="s">
        <v>917</v>
      </c>
    </row>
    <row r="24">
      <c r="A24" s="5" t="s">
        <v>72</v>
      </c>
      <c r="B24" s="6" t="s">
        <v>918</v>
      </c>
    </row>
    <row r="25">
      <c r="A25" s="5" t="s">
        <v>75</v>
      </c>
      <c r="B25" s="6" t="s">
        <v>919</v>
      </c>
    </row>
    <row r="26">
      <c r="A26" s="5" t="s">
        <v>78</v>
      </c>
      <c r="B26" s="6" t="s">
        <v>920</v>
      </c>
    </row>
    <row r="27">
      <c r="A27" s="5" t="s">
        <v>81</v>
      </c>
      <c r="B27" s="6" t="s">
        <v>921</v>
      </c>
    </row>
    <row r="28">
      <c r="A28" s="5" t="s">
        <v>86</v>
      </c>
      <c r="B28" s="6" t="s">
        <v>922</v>
      </c>
    </row>
    <row r="29">
      <c r="A29" s="5" t="s">
        <v>88</v>
      </c>
      <c r="B29" s="6" t="s">
        <v>923</v>
      </c>
    </row>
    <row r="30">
      <c r="A30" s="5" t="s">
        <v>91</v>
      </c>
      <c r="B30" s="6" t="s">
        <v>924</v>
      </c>
    </row>
    <row r="31">
      <c r="A31" s="5" t="s">
        <v>95</v>
      </c>
      <c r="B31" s="6" t="s">
        <v>925</v>
      </c>
    </row>
    <row r="32">
      <c r="A32" s="5" t="s">
        <v>97</v>
      </c>
    </row>
    <row r="33">
      <c r="A33" s="5" t="s">
        <v>99</v>
      </c>
    </row>
    <row r="34">
      <c r="A34" s="5" t="s">
        <v>102</v>
      </c>
    </row>
    <row r="35">
      <c r="A35" s="5" t="s">
        <v>104</v>
      </c>
    </row>
    <row r="36">
      <c r="A36" s="5" t="s">
        <v>107</v>
      </c>
    </row>
    <row r="37">
      <c r="A37" s="5" t="s">
        <v>109</v>
      </c>
    </row>
    <row r="38">
      <c r="A38" s="5" t="s">
        <v>112</v>
      </c>
    </row>
    <row r="39">
      <c r="A39" s="5" t="s">
        <v>114</v>
      </c>
    </row>
    <row r="40">
      <c r="A40" s="5" t="s">
        <v>117</v>
      </c>
    </row>
    <row r="41">
      <c r="A41" s="5" t="s">
        <v>120</v>
      </c>
    </row>
    <row r="42">
      <c r="A42" s="5" t="s">
        <v>122</v>
      </c>
    </row>
    <row r="43">
      <c r="A43" s="5" t="s">
        <v>125</v>
      </c>
    </row>
    <row r="44">
      <c r="A44" s="5" t="s">
        <v>128</v>
      </c>
    </row>
    <row r="45">
      <c r="A45" s="5" t="s">
        <v>130</v>
      </c>
    </row>
    <row r="46">
      <c r="A46" s="5" t="s">
        <v>132</v>
      </c>
    </row>
    <row r="47">
      <c r="A47" s="5" t="s">
        <v>135</v>
      </c>
    </row>
    <row r="48">
      <c r="A48" s="5" t="s">
        <v>137</v>
      </c>
    </row>
    <row r="49">
      <c r="A49" s="5" t="s">
        <v>140</v>
      </c>
    </row>
    <row r="50">
      <c r="A50" s="5" t="s">
        <v>143</v>
      </c>
    </row>
    <row r="51">
      <c r="A51" s="5" t="s">
        <v>145</v>
      </c>
    </row>
    <row r="52">
      <c r="A52" s="5" t="s">
        <v>147</v>
      </c>
    </row>
    <row r="53">
      <c r="A53" s="5" t="s">
        <v>150</v>
      </c>
    </row>
    <row r="54">
      <c r="A54" s="5" t="s">
        <v>152</v>
      </c>
    </row>
    <row r="55">
      <c r="A55" s="5" t="s">
        <v>154</v>
      </c>
    </row>
    <row r="56">
      <c r="A56" s="5" t="s">
        <v>157</v>
      </c>
    </row>
    <row r="57">
      <c r="A57" s="5" t="s">
        <v>159</v>
      </c>
    </row>
    <row r="58">
      <c r="A58" s="5" t="s">
        <v>162</v>
      </c>
    </row>
    <row r="59">
      <c r="A59" s="5" t="s">
        <v>164</v>
      </c>
    </row>
    <row r="60">
      <c r="A60" s="5" t="s">
        <v>166</v>
      </c>
    </row>
    <row r="61">
      <c r="A61" s="5" t="s">
        <v>169</v>
      </c>
    </row>
    <row r="62">
      <c r="A62" s="5" t="s">
        <v>172</v>
      </c>
    </row>
    <row r="63">
      <c r="A63" s="5" t="s">
        <v>174</v>
      </c>
    </row>
    <row r="64">
      <c r="A64" s="5" t="s">
        <v>177</v>
      </c>
    </row>
    <row r="65">
      <c r="A65" s="5" t="s">
        <v>179</v>
      </c>
    </row>
    <row r="66">
      <c r="A66" s="5" t="s">
        <v>181</v>
      </c>
    </row>
    <row r="67">
      <c r="A67" s="5" t="s">
        <v>183</v>
      </c>
    </row>
    <row r="68">
      <c r="A68" s="5" t="s">
        <v>186</v>
      </c>
    </row>
    <row r="69">
      <c r="A69" s="5" t="s">
        <v>188</v>
      </c>
    </row>
    <row r="70">
      <c r="A70" s="5" t="s">
        <v>190</v>
      </c>
    </row>
    <row r="71">
      <c r="A71" s="5" t="s">
        <v>194</v>
      </c>
    </row>
    <row r="72">
      <c r="A72" s="5" t="s">
        <v>196</v>
      </c>
    </row>
    <row r="73">
      <c r="A73" s="5" t="s">
        <v>199</v>
      </c>
    </row>
    <row r="74">
      <c r="A74" s="5" t="s">
        <v>201</v>
      </c>
    </row>
    <row r="75">
      <c r="A75" s="5" t="s">
        <v>204</v>
      </c>
    </row>
    <row r="76">
      <c r="A76" s="5" t="s">
        <v>206</v>
      </c>
    </row>
    <row r="77">
      <c r="A77" s="5" t="s">
        <v>208</v>
      </c>
    </row>
    <row r="78">
      <c r="A78" s="5" t="s">
        <v>210</v>
      </c>
    </row>
    <row r="79">
      <c r="A79" s="5" t="s">
        <v>212</v>
      </c>
    </row>
    <row r="80">
      <c r="A80" s="5" t="s">
        <v>214</v>
      </c>
    </row>
    <row r="81">
      <c r="A81" s="5" t="s">
        <v>216</v>
      </c>
    </row>
    <row r="82">
      <c r="A82" s="5" t="s">
        <v>218</v>
      </c>
    </row>
    <row r="83">
      <c r="A83" s="5" t="s">
        <v>220</v>
      </c>
    </row>
    <row r="84">
      <c r="A84" s="5" t="s">
        <v>222</v>
      </c>
    </row>
    <row r="85">
      <c r="A85" s="5" t="s">
        <v>225</v>
      </c>
    </row>
    <row r="86">
      <c r="A86" s="5" t="s">
        <v>227</v>
      </c>
    </row>
    <row r="87">
      <c r="A87" s="5" t="s">
        <v>229</v>
      </c>
    </row>
    <row r="88">
      <c r="A88" s="5" t="s">
        <v>231</v>
      </c>
    </row>
    <row r="89">
      <c r="A89" s="5" t="s">
        <v>233</v>
      </c>
    </row>
    <row r="90">
      <c r="A90" s="5" t="s">
        <v>236</v>
      </c>
    </row>
    <row r="91">
      <c r="A91" s="5" t="s">
        <v>239</v>
      </c>
    </row>
    <row r="92">
      <c r="A92" s="5" t="s">
        <v>241</v>
      </c>
    </row>
    <row r="93">
      <c r="A93" s="5" t="s">
        <v>243</v>
      </c>
    </row>
    <row r="94">
      <c r="A94" s="5" t="s">
        <v>245</v>
      </c>
    </row>
    <row r="95">
      <c r="A95" s="5" t="s">
        <v>249</v>
      </c>
    </row>
    <row r="96">
      <c r="A96" s="5" t="s">
        <v>251</v>
      </c>
    </row>
    <row r="97">
      <c r="A97" s="5" t="s">
        <v>253</v>
      </c>
    </row>
    <row r="98">
      <c r="A98" s="5" t="s">
        <v>255</v>
      </c>
    </row>
    <row r="99">
      <c r="A99" s="5" t="s">
        <v>257</v>
      </c>
    </row>
    <row r="100">
      <c r="A100" s="5" t="s">
        <v>259</v>
      </c>
    </row>
    <row r="101">
      <c r="A101" s="5" t="s">
        <v>261</v>
      </c>
    </row>
    <row r="102">
      <c r="A102" s="5" t="s">
        <v>263</v>
      </c>
    </row>
    <row r="103">
      <c r="A103" s="5" t="s">
        <v>265</v>
      </c>
    </row>
    <row r="104">
      <c r="A104" s="5" t="s">
        <v>267</v>
      </c>
    </row>
    <row r="105">
      <c r="A105" s="5" t="s">
        <v>269</v>
      </c>
    </row>
    <row r="106">
      <c r="A106" s="5" t="s">
        <v>272</v>
      </c>
    </row>
    <row r="107">
      <c r="A107" s="5" t="s">
        <v>274</v>
      </c>
    </row>
    <row r="108">
      <c r="A108" s="5" t="s">
        <v>276</v>
      </c>
    </row>
    <row r="109">
      <c r="A109" s="5" t="s">
        <v>279</v>
      </c>
    </row>
    <row r="110">
      <c r="A110" s="5" t="s">
        <v>281</v>
      </c>
    </row>
    <row r="111">
      <c r="A111" s="5" t="s">
        <v>283</v>
      </c>
    </row>
    <row r="112">
      <c r="A112" s="5" t="s">
        <v>285</v>
      </c>
    </row>
    <row r="113">
      <c r="A113" s="5" t="s">
        <v>288</v>
      </c>
    </row>
    <row r="114">
      <c r="A114" s="5" t="s">
        <v>290</v>
      </c>
    </row>
    <row r="115">
      <c r="A115" s="5" t="s">
        <v>292</v>
      </c>
    </row>
    <row r="116">
      <c r="A116" s="5" t="s">
        <v>294</v>
      </c>
    </row>
    <row r="117">
      <c r="A117" s="5" t="s">
        <v>296</v>
      </c>
    </row>
    <row r="118">
      <c r="A118" s="5" t="s">
        <v>298</v>
      </c>
    </row>
    <row r="119">
      <c r="A119" s="5" t="s">
        <v>300</v>
      </c>
    </row>
    <row r="120">
      <c r="A120" s="5" t="s">
        <v>302</v>
      </c>
    </row>
    <row r="121">
      <c r="A121" s="5" t="s">
        <v>304</v>
      </c>
    </row>
    <row r="122">
      <c r="A122" s="5" t="s">
        <v>306</v>
      </c>
    </row>
    <row r="123">
      <c r="A123" s="5" t="s">
        <v>308</v>
      </c>
    </row>
    <row r="124">
      <c r="A124" s="5" t="s">
        <v>310</v>
      </c>
    </row>
    <row r="125">
      <c r="A125" s="5" t="s">
        <v>312</v>
      </c>
    </row>
    <row r="126">
      <c r="A126" s="5" t="s">
        <v>314</v>
      </c>
    </row>
    <row r="127">
      <c r="A127" s="5" t="s">
        <v>317</v>
      </c>
    </row>
    <row r="128">
      <c r="A128" s="5" t="s">
        <v>319</v>
      </c>
    </row>
    <row r="129">
      <c r="A129" s="5" t="s">
        <v>321</v>
      </c>
    </row>
    <row r="130">
      <c r="A130" s="5" t="s">
        <v>323</v>
      </c>
    </row>
    <row r="131">
      <c r="A131" s="5" t="s">
        <v>325</v>
      </c>
    </row>
    <row r="132">
      <c r="A132" s="5" t="s">
        <v>329</v>
      </c>
    </row>
    <row r="133">
      <c r="A133" s="5" t="s">
        <v>331</v>
      </c>
    </row>
    <row r="134">
      <c r="A134" s="5" t="s">
        <v>334</v>
      </c>
    </row>
    <row r="135">
      <c r="A135" s="5" t="s">
        <v>338</v>
      </c>
    </row>
    <row r="136">
      <c r="A136" s="5" t="s">
        <v>342</v>
      </c>
    </row>
    <row r="137">
      <c r="A137" s="5" t="s">
        <v>344</v>
      </c>
    </row>
    <row r="138">
      <c r="A138" s="5" t="s">
        <v>349</v>
      </c>
    </row>
    <row r="139">
      <c r="A139" s="5" t="s">
        <v>351</v>
      </c>
    </row>
    <row r="140">
      <c r="A140" s="5" t="s">
        <v>354</v>
      </c>
    </row>
    <row r="141">
      <c r="A141" s="5" t="s">
        <v>356</v>
      </c>
    </row>
    <row r="142">
      <c r="A142" s="5" t="s">
        <v>359</v>
      </c>
    </row>
    <row r="143">
      <c r="A143" s="5" t="s">
        <v>361</v>
      </c>
    </row>
    <row r="144">
      <c r="A144" s="5" t="s">
        <v>363</v>
      </c>
    </row>
    <row r="145">
      <c r="A145" s="5" t="s">
        <v>365</v>
      </c>
    </row>
    <row r="146">
      <c r="A146" s="5" t="s">
        <v>367</v>
      </c>
    </row>
    <row r="147">
      <c r="A147" s="5" t="s">
        <v>372</v>
      </c>
    </row>
    <row r="148">
      <c r="A148" s="5" t="s">
        <v>375</v>
      </c>
    </row>
    <row r="149">
      <c r="A149" s="5" t="s">
        <v>379</v>
      </c>
    </row>
    <row r="150">
      <c r="A150" s="5" t="s">
        <v>382</v>
      </c>
    </row>
    <row r="151">
      <c r="A151" s="5" t="s">
        <v>384</v>
      </c>
    </row>
    <row r="152">
      <c r="A152" s="5" t="s">
        <v>386</v>
      </c>
    </row>
    <row r="153">
      <c r="A153" s="5" t="s">
        <v>389</v>
      </c>
    </row>
    <row r="154">
      <c r="A154" s="5" t="s">
        <v>391</v>
      </c>
    </row>
    <row r="155">
      <c r="A155" s="5" t="s">
        <v>393</v>
      </c>
    </row>
    <row r="156">
      <c r="A156" s="5" t="s">
        <v>395</v>
      </c>
    </row>
    <row r="157">
      <c r="A157" s="5" t="s">
        <v>399</v>
      </c>
    </row>
    <row r="158">
      <c r="A158" s="5" t="s">
        <v>401</v>
      </c>
    </row>
    <row r="159">
      <c r="A159" s="5" t="s">
        <v>403</v>
      </c>
    </row>
    <row r="160">
      <c r="A160" s="5" t="s">
        <v>405</v>
      </c>
    </row>
    <row r="161">
      <c r="A161" s="5" t="s">
        <v>411</v>
      </c>
    </row>
    <row r="162">
      <c r="A162" s="5" t="s">
        <v>413</v>
      </c>
    </row>
    <row r="163">
      <c r="A163" s="5" t="s">
        <v>416</v>
      </c>
    </row>
    <row r="164">
      <c r="A164" s="5" t="s">
        <v>418</v>
      </c>
    </row>
    <row r="165">
      <c r="A165" s="5" t="s">
        <v>420</v>
      </c>
    </row>
    <row r="166">
      <c r="A166" s="5" t="s">
        <v>422</v>
      </c>
    </row>
    <row r="167">
      <c r="A167" s="5" t="s">
        <v>424</v>
      </c>
    </row>
    <row r="168">
      <c r="A168" s="5" t="s">
        <v>430</v>
      </c>
    </row>
    <row r="169">
      <c r="A169" s="5" t="s">
        <v>433</v>
      </c>
    </row>
    <row r="170">
      <c r="A170" s="5" t="s">
        <v>436</v>
      </c>
    </row>
    <row r="171">
      <c r="A171" s="5" t="s">
        <v>438</v>
      </c>
    </row>
    <row r="172">
      <c r="A172" s="5" t="s">
        <v>440</v>
      </c>
    </row>
    <row r="173">
      <c r="A173" s="5" t="s">
        <v>443</v>
      </c>
    </row>
    <row r="174">
      <c r="A174" s="5" t="s">
        <v>446</v>
      </c>
    </row>
    <row r="175">
      <c r="A175" s="5" t="s">
        <v>449</v>
      </c>
    </row>
    <row r="176">
      <c r="A176" s="5" t="s">
        <v>451</v>
      </c>
    </row>
    <row r="177">
      <c r="A177" s="5" t="s">
        <v>454</v>
      </c>
    </row>
    <row r="178">
      <c r="A178" s="5" t="s">
        <v>456</v>
      </c>
    </row>
    <row r="179">
      <c r="A179" s="5" t="s">
        <v>458</v>
      </c>
    </row>
    <row r="180">
      <c r="A180" s="5" t="s">
        <v>460</v>
      </c>
    </row>
    <row r="181">
      <c r="A181" s="5" t="s">
        <v>462</v>
      </c>
    </row>
    <row r="182">
      <c r="A182" s="5" t="s">
        <v>464</v>
      </c>
    </row>
    <row r="183">
      <c r="A183" s="5" t="s">
        <v>466</v>
      </c>
    </row>
    <row r="184">
      <c r="A184" s="5" t="s">
        <v>468</v>
      </c>
    </row>
    <row r="185">
      <c r="A185" s="5" t="s">
        <v>470</v>
      </c>
    </row>
    <row r="186">
      <c r="A186" s="5" t="s">
        <v>473</v>
      </c>
    </row>
    <row r="187">
      <c r="A187" s="5" t="s">
        <v>476</v>
      </c>
    </row>
    <row r="188">
      <c r="A188" s="5" t="s">
        <v>478</v>
      </c>
    </row>
    <row r="189">
      <c r="A189" s="5" t="s">
        <v>481</v>
      </c>
    </row>
    <row r="190">
      <c r="A190" s="5" t="s">
        <v>483</v>
      </c>
    </row>
    <row r="191">
      <c r="A191" s="5" t="s">
        <v>485</v>
      </c>
    </row>
    <row r="192">
      <c r="A192" s="5" t="s">
        <v>487</v>
      </c>
    </row>
    <row r="193">
      <c r="A193" s="5" t="s">
        <v>489</v>
      </c>
    </row>
    <row r="194">
      <c r="A194" s="5" t="s">
        <v>491</v>
      </c>
    </row>
    <row r="195">
      <c r="A195" s="5" t="s">
        <v>493</v>
      </c>
    </row>
    <row r="196">
      <c r="A196" s="5" t="s">
        <v>495</v>
      </c>
    </row>
    <row r="197">
      <c r="A197" s="5" t="s">
        <v>498</v>
      </c>
    </row>
    <row r="198">
      <c r="A198" s="5" t="s">
        <v>500</v>
      </c>
    </row>
    <row r="199">
      <c r="A199" s="5" t="s">
        <v>503</v>
      </c>
    </row>
    <row r="200">
      <c r="A200" s="5" t="s">
        <v>505</v>
      </c>
    </row>
    <row r="201">
      <c r="A201" s="5" t="s">
        <v>508</v>
      </c>
    </row>
    <row r="202">
      <c r="A202" s="5" t="s">
        <v>510</v>
      </c>
    </row>
    <row r="203">
      <c r="A203" s="5" t="s">
        <v>515</v>
      </c>
    </row>
    <row r="204">
      <c r="A204" s="5" t="s">
        <v>517</v>
      </c>
    </row>
    <row r="205">
      <c r="A205" s="5" t="s">
        <v>524</v>
      </c>
    </row>
    <row r="206">
      <c r="A206" s="5" t="s">
        <v>526</v>
      </c>
    </row>
    <row r="207">
      <c r="A207" s="5" t="s">
        <v>528</v>
      </c>
    </row>
    <row r="208">
      <c r="A208" s="5" t="s">
        <v>537</v>
      </c>
    </row>
    <row r="209">
      <c r="A209" s="5" t="s">
        <v>541</v>
      </c>
    </row>
    <row r="210">
      <c r="A210" s="5" t="s">
        <v>543</v>
      </c>
    </row>
    <row r="211">
      <c r="A211" s="5" t="s">
        <v>545</v>
      </c>
    </row>
    <row r="212">
      <c r="A212" s="5" t="s">
        <v>549</v>
      </c>
    </row>
    <row r="213">
      <c r="A213" s="5" t="s">
        <v>552</v>
      </c>
    </row>
    <row r="214">
      <c r="A214" s="5" t="s">
        <v>554</v>
      </c>
    </row>
    <row r="215">
      <c r="A215" s="5" t="s">
        <v>556</v>
      </c>
    </row>
    <row r="216">
      <c r="A216" s="5" t="s">
        <v>561</v>
      </c>
    </row>
    <row r="217">
      <c r="A217" s="5" t="s">
        <v>564</v>
      </c>
    </row>
    <row r="218">
      <c r="A218" s="5" t="s">
        <v>568</v>
      </c>
    </row>
    <row r="219">
      <c r="A219" s="5" t="s">
        <v>570</v>
      </c>
    </row>
    <row r="220">
      <c r="A220" s="5" t="s">
        <v>574</v>
      </c>
    </row>
    <row r="221">
      <c r="A221" s="5" t="s">
        <v>576</v>
      </c>
    </row>
    <row r="222">
      <c r="A222" s="5" t="s">
        <v>578</v>
      </c>
    </row>
    <row r="223">
      <c r="A223" s="5" t="s">
        <v>580</v>
      </c>
    </row>
    <row r="224">
      <c r="A224" s="5" t="s">
        <v>583</v>
      </c>
    </row>
    <row r="225">
      <c r="A225" s="5" t="s">
        <v>585</v>
      </c>
    </row>
    <row r="226">
      <c r="A226" s="5" t="s">
        <v>587</v>
      </c>
    </row>
    <row r="227">
      <c r="A227" s="5" t="s">
        <v>592</v>
      </c>
    </row>
    <row r="228">
      <c r="A228" s="5" t="s">
        <v>594</v>
      </c>
    </row>
    <row r="229">
      <c r="A229" s="5" t="s">
        <v>596</v>
      </c>
    </row>
    <row r="230">
      <c r="A230" s="5" t="s">
        <v>600</v>
      </c>
    </row>
    <row r="231">
      <c r="A231" s="5" t="s">
        <v>603</v>
      </c>
    </row>
    <row r="232">
      <c r="A232" s="5" t="s">
        <v>605</v>
      </c>
    </row>
    <row r="233">
      <c r="A233" s="5" t="s">
        <v>610</v>
      </c>
    </row>
    <row r="234">
      <c r="A234" s="5" t="s">
        <v>614</v>
      </c>
    </row>
    <row r="235">
      <c r="A235" s="5" t="s">
        <v>616</v>
      </c>
    </row>
    <row r="236">
      <c r="A236" s="5" t="s">
        <v>619</v>
      </c>
    </row>
    <row r="237">
      <c r="A237" s="5" t="s">
        <v>621</v>
      </c>
    </row>
    <row r="238">
      <c r="A238" s="5" t="s">
        <v>624</v>
      </c>
    </row>
    <row r="239">
      <c r="A239" s="5" t="s">
        <v>626</v>
      </c>
    </row>
    <row r="240">
      <c r="A240" s="5" t="s">
        <v>628</v>
      </c>
    </row>
    <row r="241">
      <c r="A241" s="5" t="s">
        <v>633</v>
      </c>
    </row>
    <row r="242">
      <c r="A242" s="5" t="s">
        <v>635</v>
      </c>
    </row>
    <row r="243">
      <c r="A243" s="5" t="s">
        <v>637</v>
      </c>
    </row>
    <row r="244">
      <c r="A244" s="5" t="s">
        <v>641</v>
      </c>
    </row>
    <row r="245">
      <c r="A245" s="5" t="s">
        <v>643</v>
      </c>
    </row>
    <row r="246">
      <c r="A246" s="5" t="s">
        <v>647</v>
      </c>
    </row>
    <row r="247">
      <c r="A247" s="5" t="s">
        <v>649</v>
      </c>
    </row>
    <row r="248">
      <c r="A248" s="5" t="s">
        <v>652</v>
      </c>
    </row>
    <row r="249">
      <c r="A249" s="5" t="s">
        <v>655</v>
      </c>
    </row>
    <row r="250">
      <c r="A250" s="5" t="s">
        <v>657</v>
      </c>
    </row>
    <row r="251">
      <c r="A251" s="5" t="s">
        <v>659</v>
      </c>
    </row>
    <row r="252">
      <c r="A252" s="5" t="s">
        <v>661</v>
      </c>
    </row>
    <row r="253">
      <c r="A253" s="5" t="s">
        <v>663</v>
      </c>
    </row>
    <row r="254">
      <c r="A254" s="5" t="s">
        <v>666</v>
      </c>
    </row>
    <row r="255">
      <c r="A255" s="5" t="s">
        <v>668</v>
      </c>
    </row>
    <row r="256">
      <c r="A256" s="5" t="s">
        <v>672</v>
      </c>
    </row>
    <row r="257">
      <c r="A257" s="5" t="s">
        <v>674</v>
      </c>
    </row>
    <row r="258">
      <c r="A258" s="5" t="s">
        <v>676</v>
      </c>
    </row>
    <row r="259">
      <c r="A259" s="5" t="s">
        <v>678</v>
      </c>
    </row>
    <row r="260">
      <c r="A260" s="5" t="s">
        <v>680</v>
      </c>
    </row>
    <row r="261">
      <c r="A261" s="5" t="s">
        <v>683</v>
      </c>
    </row>
    <row r="262">
      <c r="A262" s="5" t="s">
        <v>685</v>
      </c>
    </row>
    <row r="263">
      <c r="A263" s="5" t="s">
        <v>687</v>
      </c>
    </row>
    <row r="264">
      <c r="A264" s="5" t="s">
        <v>690</v>
      </c>
    </row>
    <row r="265">
      <c r="A265" s="5" t="s">
        <v>692</v>
      </c>
    </row>
    <row r="266">
      <c r="A266" s="5" t="s">
        <v>694</v>
      </c>
    </row>
    <row r="267">
      <c r="A267" s="5" t="s">
        <v>705</v>
      </c>
    </row>
    <row r="268">
      <c r="A268" s="5" t="s">
        <v>707</v>
      </c>
    </row>
    <row r="269">
      <c r="A269" s="5" t="s">
        <v>713</v>
      </c>
    </row>
    <row r="270">
      <c r="A270" s="5" t="s">
        <v>717</v>
      </c>
    </row>
    <row r="271">
      <c r="A271" s="5" t="s">
        <v>719</v>
      </c>
    </row>
    <row r="272">
      <c r="A272" s="5" t="s">
        <v>721</v>
      </c>
    </row>
    <row r="273">
      <c r="A273" s="5" t="s">
        <v>723</v>
      </c>
    </row>
    <row r="274">
      <c r="A274" s="5" t="s">
        <v>727</v>
      </c>
    </row>
    <row r="275">
      <c r="A275" s="5" t="s">
        <v>729</v>
      </c>
    </row>
    <row r="276">
      <c r="A276" s="5" t="s">
        <v>731</v>
      </c>
    </row>
    <row r="277">
      <c r="A277" s="5" t="s">
        <v>733</v>
      </c>
    </row>
    <row r="278">
      <c r="A278" s="5" t="s">
        <v>736</v>
      </c>
    </row>
    <row r="279">
      <c r="A279" s="5" t="s">
        <v>738</v>
      </c>
    </row>
    <row r="280">
      <c r="A280" s="5" t="s">
        <v>744</v>
      </c>
    </row>
    <row r="281">
      <c r="A281" s="5" t="s">
        <v>747</v>
      </c>
    </row>
    <row r="282">
      <c r="A282" s="5" t="s">
        <v>749</v>
      </c>
    </row>
    <row r="283">
      <c r="A283" s="5" t="s">
        <v>751</v>
      </c>
    </row>
    <row r="284">
      <c r="A284" s="5" t="s">
        <v>753</v>
      </c>
    </row>
    <row r="285">
      <c r="A285" s="5" t="s">
        <v>755</v>
      </c>
    </row>
    <row r="286">
      <c r="A286" s="5" t="s">
        <v>760</v>
      </c>
    </row>
    <row r="287">
      <c r="A287" s="5" t="s">
        <v>762</v>
      </c>
    </row>
    <row r="288">
      <c r="A288" s="5" t="s">
        <v>764</v>
      </c>
    </row>
    <row r="289">
      <c r="A289" s="5" t="s">
        <v>766</v>
      </c>
    </row>
    <row r="290">
      <c r="A290" s="5" t="s">
        <v>769</v>
      </c>
    </row>
    <row r="291">
      <c r="A291" s="5" t="s">
        <v>771</v>
      </c>
    </row>
    <row r="292">
      <c r="A292" s="5" t="s">
        <v>774</v>
      </c>
    </row>
    <row r="293">
      <c r="A293" s="5" t="s">
        <v>776</v>
      </c>
    </row>
    <row r="294">
      <c r="A294" s="5" t="s">
        <v>778</v>
      </c>
    </row>
    <row r="295">
      <c r="A295" s="5" t="s">
        <v>780</v>
      </c>
    </row>
    <row r="296">
      <c r="A296" s="5" t="s">
        <v>783</v>
      </c>
    </row>
    <row r="297">
      <c r="A297" s="5" t="s">
        <v>785</v>
      </c>
    </row>
    <row r="298">
      <c r="A298" s="5" t="s">
        <v>789</v>
      </c>
    </row>
    <row r="299">
      <c r="A299" s="5" t="s">
        <v>791</v>
      </c>
    </row>
    <row r="300">
      <c r="A300" s="5" t="s">
        <v>794</v>
      </c>
    </row>
    <row r="301">
      <c r="A301" s="5" t="s">
        <v>796</v>
      </c>
    </row>
    <row r="302">
      <c r="A302" s="5" t="s">
        <v>800</v>
      </c>
    </row>
    <row r="303">
      <c r="A303" s="5" t="s">
        <v>802</v>
      </c>
    </row>
    <row r="304">
      <c r="A304" s="5" t="s">
        <v>808</v>
      </c>
    </row>
    <row r="305">
      <c r="A305" s="5" t="s">
        <v>810</v>
      </c>
    </row>
    <row r="306">
      <c r="A306" s="5" t="s">
        <v>812</v>
      </c>
    </row>
    <row r="307">
      <c r="A307" s="5" t="s">
        <v>814</v>
      </c>
    </row>
    <row r="308">
      <c r="A308" s="5" t="s">
        <v>817</v>
      </c>
    </row>
    <row r="309">
      <c r="A309" s="5" t="s">
        <v>821</v>
      </c>
    </row>
    <row r="310">
      <c r="A310" s="5" t="s">
        <v>823</v>
      </c>
    </row>
    <row r="311">
      <c r="A311" s="5" t="s">
        <v>826</v>
      </c>
    </row>
    <row r="312">
      <c r="A312" s="5" t="s">
        <v>830</v>
      </c>
    </row>
    <row r="313">
      <c r="A313" s="5" t="s">
        <v>833</v>
      </c>
    </row>
    <row r="314">
      <c r="A314" s="5" t="s">
        <v>835</v>
      </c>
    </row>
    <row r="315">
      <c r="A315" s="5" t="s">
        <v>837</v>
      </c>
    </row>
    <row r="316">
      <c r="A316" s="5" t="s">
        <v>839</v>
      </c>
    </row>
    <row r="317">
      <c r="A317" s="5" t="s">
        <v>843</v>
      </c>
    </row>
    <row r="318">
      <c r="A318" s="5" t="s">
        <v>845</v>
      </c>
    </row>
    <row r="319">
      <c r="A319" s="5" t="s">
        <v>848</v>
      </c>
    </row>
    <row r="320">
      <c r="A320" s="5" t="s">
        <v>851</v>
      </c>
    </row>
    <row r="321">
      <c r="A321" s="5" t="s">
        <v>855</v>
      </c>
    </row>
    <row r="322">
      <c r="A322" s="5" t="s">
        <v>857</v>
      </c>
    </row>
    <row r="323">
      <c r="A323" s="5" t="s">
        <v>859</v>
      </c>
    </row>
    <row r="324">
      <c r="A324" s="5" t="s">
        <v>863</v>
      </c>
    </row>
    <row r="325">
      <c r="A325" s="5" t="s">
        <v>865</v>
      </c>
    </row>
    <row r="326">
      <c r="A326" s="5" t="s">
        <v>868</v>
      </c>
    </row>
    <row r="327">
      <c r="A327" s="5" t="s">
        <v>870</v>
      </c>
    </row>
    <row r="328">
      <c r="A328" s="5" t="s">
        <v>874</v>
      </c>
    </row>
    <row r="329">
      <c r="A329" s="5" t="s">
        <v>876</v>
      </c>
    </row>
    <row r="330">
      <c r="A330" s="5" t="s">
        <v>879</v>
      </c>
    </row>
    <row r="331">
      <c r="A331" s="5" t="s">
        <v>883</v>
      </c>
    </row>
    <row r="332">
      <c r="A332" s="5" t="s">
        <v>885</v>
      </c>
    </row>
    <row r="333">
      <c r="A333" s="5" t="s">
        <v>890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 t="array" ref="A1:A52">UNIQUE(RawData!D:D)</f>
        <v>ProductID</v>
      </c>
      <c r="B1" s="1" t="s">
        <v>926</v>
      </c>
      <c r="C1" s="1" t="s">
        <v>927</v>
      </c>
    </row>
    <row r="2">
      <c r="A2" s="5" t="s">
        <v>10</v>
      </c>
      <c r="B2" s="2" t="s">
        <v>928</v>
      </c>
      <c r="C2" s="2" t="s">
        <v>929</v>
      </c>
    </row>
    <row r="3">
      <c r="A3" s="5" t="s">
        <v>14</v>
      </c>
      <c r="B3" s="2" t="s">
        <v>930</v>
      </c>
      <c r="C3" s="2" t="s">
        <v>929</v>
      </c>
    </row>
    <row r="4">
      <c r="A4" s="5" t="s">
        <v>17</v>
      </c>
      <c r="B4" s="2" t="s">
        <v>931</v>
      </c>
      <c r="C4" s="2" t="s">
        <v>929</v>
      </c>
    </row>
    <row r="5">
      <c r="A5" s="5" t="s">
        <v>21</v>
      </c>
      <c r="B5" s="2" t="s">
        <v>932</v>
      </c>
      <c r="C5" s="2" t="s">
        <v>929</v>
      </c>
    </row>
    <row r="6">
      <c r="A6" s="5" t="s">
        <v>24</v>
      </c>
      <c r="B6" s="2" t="s">
        <v>930</v>
      </c>
      <c r="C6" s="2" t="s">
        <v>929</v>
      </c>
    </row>
    <row r="7">
      <c r="A7" s="5" t="s">
        <v>28</v>
      </c>
      <c r="B7" s="2" t="s">
        <v>933</v>
      </c>
      <c r="C7" s="2" t="s">
        <v>929</v>
      </c>
    </row>
    <row r="8">
      <c r="A8" s="5" t="s">
        <v>31</v>
      </c>
      <c r="B8" s="2" t="s">
        <v>934</v>
      </c>
      <c r="C8" s="2" t="s">
        <v>929</v>
      </c>
    </row>
    <row r="9">
      <c r="A9" s="5" t="s">
        <v>34</v>
      </c>
      <c r="B9" s="2" t="s">
        <v>935</v>
      </c>
      <c r="C9" s="2" t="s">
        <v>929</v>
      </c>
    </row>
    <row r="10">
      <c r="A10" s="5" t="s">
        <v>37</v>
      </c>
      <c r="B10" s="2" t="s">
        <v>936</v>
      </c>
      <c r="C10" s="2" t="s">
        <v>929</v>
      </c>
    </row>
    <row r="11">
      <c r="A11" s="5" t="s">
        <v>41</v>
      </c>
      <c r="B11" s="2" t="s">
        <v>937</v>
      </c>
      <c r="C11" s="2" t="s">
        <v>929</v>
      </c>
    </row>
    <row r="12">
      <c r="A12" s="5" t="s">
        <v>44</v>
      </c>
      <c r="B12" s="2" t="s">
        <v>938</v>
      </c>
      <c r="C12" s="2" t="s">
        <v>939</v>
      </c>
    </row>
    <row r="13">
      <c r="A13" s="5" t="s">
        <v>47</v>
      </c>
      <c r="B13" s="2" t="s">
        <v>940</v>
      </c>
      <c r="C13" s="2" t="s">
        <v>939</v>
      </c>
    </row>
    <row r="14">
      <c r="A14" s="5" t="s">
        <v>52</v>
      </c>
      <c r="B14" s="2" t="s">
        <v>941</v>
      </c>
      <c r="C14" s="2" t="s">
        <v>939</v>
      </c>
    </row>
    <row r="15">
      <c r="A15" s="5" t="s">
        <v>59</v>
      </c>
      <c r="B15" s="2" t="s">
        <v>942</v>
      </c>
      <c r="C15" s="2" t="s">
        <v>939</v>
      </c>
    </row>
    <row r="16">
      <c r="A16" s="5" t="s">
        <v>68</v>
      </c>
      <c r="B16" s="2" t="s">
        <v>943</v>
      </c>
      <c r="C16" s="2" t="s">
        <v>939</v>
      </c>
    </row>
    <row r="17">
      <c r="A17" s="5" t="s">
        <v>73</v>
      </c>
      <c r="B17" s="2" t="s">
        <v>944</v>
      </c>
      <c r="C17" s="2" t="s">
        <v>939</v>
      </c>
    </row>
    <row r="18">
      <c r="A18" s="5" t="s">
        <v>76</v>
      </c>
      <c r="B18" s="2" t="s">
        <v>945</v>
      </c>
      <c r="C18" s="2" t="s">
        <v>946</v>
      </c>
    </row>
    <row r="19">
      <c r="A19" s="5" t="s">
        <v>79</v>
      </c>
      <c r="B19" s="2" t="s">
        <v>947</v>
      </c>
      <c r="C19" s="2" t="s">
        <v>946</v>
      </c>
    </row>
    <row r="20">
      <c r="A20" s="5" t="s">
        <v>82</v>
      </c>
      <c r="B20" s="2" t="s">
        <v>948</v>
      </c>
      <c r="C20" s="2" t="s">
        <v>949</v>
      </c>
    </row>
    <row r="21">
      <c r="A21" s="5" t="s">
        <v>84</v>
      </c>
      <c r="B21" s="2" t="s">
        <v>950</v>
      </c>
      <c r="C21" s="2" t="s">
        <v>949</v>
      </c>
    </row>
    <row r="22">
      <c r="A22" s="5" t="s">
        <v>89</v>
      </c>
      <c r="B22" s="2" t="s">
        <v>951</v>
      </c>
      <c r="C22" s="2" t="s">
        <v>949</v>
      </c>
    </row>
    <row r="23">
      <c r="A23" s="5" t="s">
        <v>92</v>
      </c>
      <c r="B23" s="2" t="s">
        <v>952</v>
      </c>
      <c r="C23" s="2" t="s">
        <v>949</v>
      </c>
    </row>
    <row r="24">
      <c r="A24" s="5" t="s">
        <v>100</v>
      </c>
      <c r="B24" s="2" t="s">
        <v>953</v>
      </c>
      <c r="C24" s="2" t="s">
        <v>954</v>
      </c>
    </row>
    <row r="25">
      <c r="A25" s="5" t="s">
        <v>105</v>
      </c>
      <c r="B25" s="2" t="s">
        <v>955</v>
      </c>
      <c r="C25" s="2" t="s">
        <v>954</v>
      </c>
    </row>
    <row r="26">
      <c r="A26" s="5" t="s">
        <v>110</v>
      </c>
      <c r="B26" s="2" t="s">
        <v>928</v>
      </c>
      <c r="C26" s="2" t="s">
        <v>929</v>
      </c>
    </row>
    <row r="27">
      <c r="A27" s="5" t="s">
        <v>115</v>
      </c>
      <c r="B27" s="2" t="s">
        <v>930</v>
      </c>
      <c r="C27" s="2" t="s">
        <v>929</v>
      </c>
    </row>
    <row r="28">
      <c r="A28" s="5" t="s">
        <v>118</v>
      </c>
      <c r="B28" s="2" t="s">
        <v>933</v>
      </c>
      <c r="C28" s="2" t="s">
        <v>929</v>
      </c>
    </row>
    <row r="29">
      <c r="A29" s="5" t="s">
        <v>123</v>
      </c>
      <c r="B29" s="2" t="s">
        <v>934</v>
      </c>
      <c r="C29" s="2" t="s">
        <v>929</v>
      </c>
    </row>
    <row r="30">
      <c r="A30" s="5" t="s">
        <v>126</v>
      </c>
      <c r="B30" s="2" t="s">
        <v>935</v>
      </c>
      <c r="C30" s="2" t="s">
        <v>929</v>
      </c>
    </row>
    <row r="31">
      <c r="A31" s="5" t="s">
        <v>133</v>
      </c>
      <c r="B31" s="2" t="s">
        <v>936</v>
      </c>
      <c r="C31" s="2" t="s">
        <v>929</v>
      </c>
    </row>
    <row r="32">
      <c r="A32" s="5" t="s">
        <v>138</v>
      </c>
      <c r="B32" s="2" t="s">
        <v>937</v>
      </c>
      <c r="C32" s="2" t="s">
        <v>929</v>
      </c>
    </row>
    <row r="33">
      <c r="A33" s="5" t="s">
        <v>141</v>
      </c>
      <c r="B33" s="2" t="s">
        <v>938</v>
      </c>
      <c r="C33" s="2" t="s">
        <v>939</v>
      </c>
    </row>
    <row r="34">
      <c r="A34" s="5" t="s">
        <v>148</v>
      </c>
      <c r="B34" s="2" t="s">
        <v>940</v>
      </c>
      <c r="C34" s="2" t="s">
        <v>939</v>
      </c>
    </row>
    <row r="35">
      <c r="A35" s="5" t="s">
        <v>155</v>
      </c>
      <c r="B35" s="2" t="s">
        <v>941</v>
      </c>
      <c r="C35" s="2" t="s">
        <v>939</v>
      </c>
    </row>
    <row r="36">
      <c r="A36" s="5" t="s">
        <v>160</v>
      </c>
      <c r="B36" s="2" t="s">
        <v>942</v>
      </c>
      <c r="C36" s="2" t="s">
        <v>939</v>
      </c>
    </row>
    <row r="37">
      <c r="A37" s="5" t="s">
        <v>167</v>
      </c>
      <c r="B37" s="2" t="s">
        <v>943</v>
      </c>
      <c r="C37" s="2" t="s">
        <v>939</v>
      </c>
    </row>
    <row r="38">
      <c r="A38" s="5" t="s">
        <v>170</v>
      </c>
      <c r="B38" s="2" t="s">
        <v>944</v>
      </c>
      <c r="C38" s="2" t="s">
        <v>946</v>
      </c>
    </row>
    <row r="39">
      <c r="A39" s="5" t="s">
        <v>175</v>
      </c>
      <c r="B39" s="2" t="s">
        <v>945</v>
      </c>
      <c r="C39" s="2" t="s">
        <v>946</v>
      </c>
    </row>
    <row r="40">
      <c r="A40" s="5" t="s">
        <v>184</v>
      </c>
      <c r="B40" s="2" t="s">
        <v>947</v>
      </c>
      <c r="C40" s="2" t="s">
        <v>946</v>
      </c>
    </row>
    <row r="41">
      <c r="A41" s="5" t="s">
        <v>191</v>
      </c>
      <c r="B41" s="2" t="s">
        <v>956</v>
      </c>
      <c r="C41" s="2" t="s">
        <v>946</v>
      </c>
    </row>
    <row r="42">
      <c r="A42" s="5" t="s">
        <v>202</v>
      </c>
      <c r="B42" s="2" t="s">
        <v>948</v>
      </c>
      <c r="C42" s="2" t="s">
        <v>949</v>
      </c>
    </row>
    <row r="43">
      <c r="A43" s="5" t="s">
        <v>223</v>
      </c>
      <c r="B43" s="2" t="s">
        <v>950</v>
      </c>
      <c r="C43" s="2" t="s">
        <v>949</v>
      </c>
    </row>
    <row r="44">
      <c r="A44" s="5" t="s">
        <v>237</v>
      </c>
      <c r="B44" s="2" t="s">
        <v>951</v>
      </c>
      <c r="C44" s="2" t="s">
        <v>949</v>
      </c>
    </row>
    <row r="45">
      <c r="A45" s="5" t="s">
        <v>247</v>
      </c>
      <c r="B45" s="2" t="s">
        <v>952</v>
      </c>
      <c r="C45" s="2" t="s">
        <v>949</v>
      </c>
    </row>
    <row r="46">
      <c r="A46" s="5" t="s">
        <v>277</v>
      </c>
      <c r="B46" s="2" t="s">
        <v>953</v>
      </c>
      <c r="C46" s="2" t="s">
        <v>954</v>
      </c>
    </row>
    <row r="47">
      <c r="A47" s="5" t="s">
        <v>315</v>
      </c>
      <c r="B47" s="2" t="s">
        <v>955</v>
      </c>
      <c r="C47" s="2" t="s">
        <v>954</v>
      </c>
    </row>
    <row r="48">
      <c r="A48" s="5" t="s">
        <v>340</v>
      </c>
      <c r="B48" s="2" t="s">
        <v>928</v>
      </c>
      <c r="C48" s="2" t="s">
        <v>929</v>
      </c>
    </row>
    <row r="49">
      <c r="A49" s="5" t="s">
        <v>370</v>
      </c>
      <c r="B49" s="2" t="s">
        <v>930</v>
      </c>
      <c r="C49" s="2" t="s">
        <v>929</v>
      </c>
    </row>
    <row r="50">
      <c r="A50" s="5" t="s">
        <v>447</v>
      </c>
      <c r="B50" s="2" t="s">
        <v>931</v>
      </c>
      <c r="C50" s="2" t="s">
        <v>929</v>
      </c>
    </row>
    <row r="51">
      <c r="A51" s="5" t="s">
        <v>471</v>
      </c>
      <c r="B51" s="2" t="s">
        <v>932</v>
      </c>
      <c r="C51" s="2" t="s">
        <v>929</v>
      </c>
    </row>
    <row r="52">
      <c r="A5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1" t="s">
        <v>895</v>
      </c>
      <c r="E1" s="1" t="s">
        <v>3</v>
      </c>
      <c r="F1" s="1" t="s">
        <v>926</v>
      </c>
      <c r="G1" s="1" t="s">
        <v>927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957</v>
      </c>
    </row>
    <row r="2">
      <c r="A2" s="5" t="str">
        <f>RawData!A2</f>
        <v>ORD-5001</v>
      </c>
      <c r="B2" s="8">
        <f>RawData!B2</f>
        <v>44599</v>
      </c>
      <c r="C2" s="5" t="str">
        <f>RawData!C2</f>
        <v>C2265</v>
      </c>
      <c r="D2" s="5" t="str">
        <f>VLOOKUP(C2, Customers!A:B,2,FALSE)</f>
        <v>Liam Carter</v>
      </c>
      <c r="E2" s="5" t="str">
        <f>RawData!D2</f>
        <v>P1046</v>
      </c>
      <c r="F2" s="5" t="str">
        <f t="array" ref="F2">INDEX(Products!B:B, MATCH(E2, Products!A:A,0))</f>
        <v>Laptop</v>
      </c>
      <c r="G2" s="5" t="str">
        <f t="array" ref="G2">XLOOKUP(E2, Products!A:A, Products!C:C)</f>
        <v>Electronics</v>
      </c>
      <c r="H2" s="5">
        <f>RawData!E2</f>
        <v>10</v>
      </c>
      <c r="I2" s="5">
        <f>RawData!F2</f>
        <v>83.01</v>
      </c>
      <c r="J2" s="5">
        <f>RawData!G2</f>
        <v>830.1</v>
      </c>
      <c r="K2" s="5" t="str">
        <f>RawData!H2</f>
        <v>North</v>
      </c>
      <c r="L2" s="5" t="str">
        <f t="shared" ref="L2:L501" si="1">TEXT(B2,"MMM")</f>
        <v>Feb</v>
      </c>
    </row>
    <row r="3">
      <c r="A3" s="5" t="str">
        <f>RawData!A3</f>
        <v>ORD-5002</v>
      </c>
      <c r="B3" s="8">
        <f>RawData!B3</f>
        <v>45051</v>
      </c>
      <c r="C3" s="5" t="str">
        <f>RawData!C3</f>
        <v>C2033</v>
      </c>
      <c r="D3" s="5" t="str">
        <f>VLOOKUP(C3, Customers!A:B,2,FALSE)</f>
        <v>Noah Bennett</v>
      </c>
      <c r="E3" s="5" t="str">
        <f>RawData!D3</f>
        <v>P1010</v>
      </c>
      <c r="F3" s="5" t="str">
        <f t="array" ref="F3">INDEX(Products!B:B, MATCH(E3, Products!A:A,0))</f>
        <v>Smartphone</v>
      </c>
      <c r="G3" s="5" t="str">
        <f t="array" ref="G3">XLOOKUP(E3, Products!A:A, Products!C:C)</f>
        <v>Electronics</v>
      </c>
      <c r="H3" s="5">
        <f>RawData!E3</f>
        <v>9</v>
      </c>
      <c r="I3" s="5">
        <f>RawData!F3</f>
        <v>75.41</v>
      </c>
      <c r="J3" s="5">
        <f>RawData!G3</f>
        <v>678.69</v>
      </c>
      <c r="K3" s="5" t="str">
        <f>RawData!H3</f>
        <v>North</v>
      </c>
      <c r="L3" s="5" t="str">
        <f t="shared" si="1"/>
        <v>May</v>
      </c>
    </row>
    <row r="4">
      <c r="A4" s="5" t="str">
        <f>RawData!A4</f>
        <v>ORD-5003</v>
      </c>
      <c r="B4" s="8">
        <f>RawData!B4</f>
        <v>45788</v>
      </c>
      <c r="C4" s="5" t="str">
        <f>RawData!C4</f>
        <v>C2365</v>
      </c>
      <c r="D4" s="5" t="str">
        <f>VLOOKUP(C4, Customers!A:B,2,FALSE)</f>
        <v>Oliver Hayes</v>
      </c>
      <c r="E4" s="5" t="str">
        <f>RawData!D4</f>
        <v>P1037</v>
      </c>
      <c r="F4" s="5" t="str">
        <f t="array" ref="F4">INDEX(Products!B:B, MATCH(E4, Products!A:A,0))</f>
        <v>Tablet</v>
      </c>
      <c r="G4" s="5" t="str">
        <f t="array" ref="G4">XLOOKUP(E4, Products!A:A, Products!C:C)</f>
        <v>Electronics</v>
      </c>
      <c r="H4" s="5">
        <f>RawData!E4</f>
        <v>3</v>
      </c>
      <c r="I4" s="5">
        <f>RawData!F4</f>
        <v>115.76</v>
      </c>
      <c r="J4" s="5">
        <f>RawData!G4</f>
        <v>347.28</v>
      </c>
      <c r="K4" s="5" t="str">
        <f>RawData!H4</f>
        <v>West</v>
      </c>
      <c r="L4" s="5" t="str">
        <f t="shared" si="1"/>
        <v>May</v>
      </c>
    </row>
    <row r="5">
      <c r="A5" s="5" t="str">
        <f>RawData!A5</f>
        <v>ORD-5004</v>
      </c>
      <c r="B5" s="8">
        <f>RawData!B5</f>
        <v>45943</v>
      </c>
      <c r="C5" s="5" t="str">
        <f>RawData!C5</f>
        <v>C2327</v>
      </c>
      <c r="D5" s="5" t="str">
        <f>VLOOKUP(C5, Customers!A:B,2,FALSE)</f>
        <v>Elijah Brooks</v>
      </c>
      <c r="E5" s="5" t="str">
        <f>RawData!D5</f>
        <v>P1001</v>
      </c>
      <c r="F5" s="5" t="str">
        <f t="array" ref="F5">INDEX(Products!B:B, MATCH(E5, Products!A:A,0))</f>
        <v>Headphones</v>
      </c>
      <c r="G5" s="5" t="str">
        <f t="array" ref="G5">XLOOKUP(E5, Products!A:A, Products!C:C)</f>
        <v>Electronics</v>
      </c>
      <c r="H5" s="5">
        <f>RawData!E5</f>
        <v>6</v>
      </c>
      <c r="I5" s="5">
        <f>RawData!F5</f>
        <v>144.69</v>
      </c>
      <c r="J5" s="5">
        <f>RawData!G5</f>
        <v>868.14</v>
      </c>
      <c r="K5" s="5" t="str">
        <f>RawData!H5</f>
        <v>West</v>
      </c>
      <c r="L5" s="5" t="str">
        <f t="shared" si="1"/>
        <v>Oct</v>
      </c>
    </row>
    <row r="6">
      <c r="A6" s="5" t="str">
        <f>RawData!A6</f>
        <v>ORD-5005</v>
      </c>
      <c r="B6" s="8">
        <f>RawData!B6</f>
        <v>45766</v>
      </c>
      <c r="C6" s="5" t="str">
        <f>RawData!C6</f>
        <v>C2012</v>
      </c>
      <c r="D6" s="5" t="str">
        <f>VLOOKUP(C6, Customers!A:B,2,FALSE)</f>
        <v>James Cooper</v>
      </c>
      <c r="E6" s="5" t="str">
        <f>RawData!D6</f>
        <v>P1042</v>
      </c>
      <c r="F6" s="5" t="str">
        <f t="array" ref="F6">INDEX(Products!B:B, MATCH(E6, Products!A:A,0))</f>
        <v>Smartphone</v>
      </c>
      <c r="G6" s="5" t="str">
        <f t="array" ref="G6">XLOOKUP(E6, Products!A:A, Products!C:C)</f>
        <v>Electronics</v>
      </c>
      <c r="H6" s="5">
        <f>RawData!E6</f>
        <v>6</v>
      </c>
      <c r="I6" s="5">
        <f>RawData!F6</f>
        <v>90.5</v>
      </c>
      <c r="J6" s="5">
        <f>RawData!G6</f>
        <v>543</v>
      </c>
      <c r="K6" s="5" t="str">
        <f>RawData!H6</f>
        <v>South</v>
      </c>
      <c r="L6" s="5" t="str">
        <f t="shared" si="1"/>
        <v>Apr</v>
      </c>
    </row>
    <row r="7">
      <c r="A7" s="5" t="str">
        <f>RawData!A7</f>
        <v>ORD-5006</v>
      </c>
      <c r="B7" s="8">
        <f>RawData!B7</f>
        <v>45103</v>
      </c>
      <c r="C7" s="5" t="str">
        <f>RawData!C7</f>
        <v>C2283</v>
      </c>
      <c r="D7" s="5" t="str">
        <f>VLOOKUP(C7, Customers!A:B,2,FALSE)</f>
        <v>William Foster</v>
      </c>
      <c r="E7" s="5" t="str">
        <f>RawData!D7</f>
        <v>P1003</v>
      </c>
      <c r="F7" s="5" t="str">
        <f t="array" ref="F7">INDEX(Products!B:B, MATCH(E7, Products!A:A,0))</f>
        <v>Camera</v>
      </c>
      <c r="G7" s="5" t="str">
        <f t="array" ref="G7">XLOOKUP(E7, Products!A:A, Products!C:C)</f>
        <v>Electronics</v>
      </c>
      <c r="H7" s="5">
        <f>RawData!E7</f>
        <v>10</v>
      </c>
      <c r="I7" s="5">
        <f>RawData!F7</f>
        <v>187.26</v>
      </c>
      <c r="J7" s="5">
        <f>RawData!G7</f>
        <v>1872.6</v>
      </c>
      <c r="K7" s="5" t="str">
        <f>RawData!H7</f>
        <v>South</v>
      </c>
      <c r="L7" s="5" t="str">
        <f t="shared" si="1"/>
        <v>Jun</v>
      </c>
    </row>
    <row r="8">
      <c r="A8" s="5" t="str">
        <f>RawData!A8</f>
        <v>ORD-5007</v>
      </c>
      <c r="B8" s="8">
        <f>RawData!B8</f>
        <v>44649</v>
      </c>
      <c r="C8" s="5" t="str">
        <f>RawData!C8</f>
        <v>C2290</v>
      </c>
      <c r="D8" s="5" t="str">
        <f>VLOOKUP(C8, Customers!A:B,2,FALSE)</f>
        <v>Benjamin Ross</v>
      </c>
      <c r="E8" s="5" t="str">
        <f>RawData!D8</f>
        <v>P1030</v>
      </c>
      <c r="F8" s="5" t="str">
        <f t="array" ref="F8">INDEX(Products!B:B, MATCH(E8, Products!A:A,0))</f>
        <v>Printer</v>
      </c>
      <c r="G8" s="5" t="str">
        <f t="array" ref="G8">XLOOKUP(E8, Products!A:A, Products!C:C)</f>
        <v>Electronics</v>
      </c>
      <c r="H8" s="5">
        <f>RawData!E8</f>
        <v>6</v>
      </c>
      <c r="I8" s="5">
        <f>RawData!F8</f>
        <v>100.65</v>
      </c>
      <c r="J8" s="5">
        <f>RawData!G8</f>
        <v>603.9</v>
      </c>
      <c r="K8" s="5" t="str">
        <f>RawData!H8</f>
        <v>North</v>
      </c>
      <c r="L8" s="5" t="str">
        <f t="shared" si="1"/>
        <v>Mar</v>
      </c>
    </row>
    <row r="9">
      <c r="A9" s="5" t="str">
        <f>RawData!A9</f>
        <v>ORD-5008</v>
      </c>
      <c r="B9" s="8">
        <f>RawData!B9</f>
        <v>44746</v>
      </c>
      <c r="C9" s="5" t="str">
        <f>RawData!C9</f>
        <v>C2418</v>
      </c>
      <c r="D9" s="5" t="str">
        <f>VLOOKUP(C9, Customers!A:B,2,FALSE)</f>
        <v>Lucas Reed</v>
      </c>
      <c r="E9" s="5" t="str">
        <f>RawData!D9</f>
        <v>P1025</v>
      </c>
      <c r="F9" s="5" t="str">
        <f t="array" ref="F9">INDEX(Products!B:B, MATCH(E9, Products!A:A,0))</f>
        <v>Monitor</v>
      </c>
      <c r="G9" s="5" t="str">
        <f t="array" ref="G9">XLOOKUP(E9, Products!A:A, Products!C:C)</f>
        <v>Electronics</v>
      </c>
      <c r="H9" s="5">
        <f>RawData!E9</f>
        <v>10</v>
      </c>
      <c r="I9" s="5">
        <f>RawData!F9</f>
        <v>65.45</v>
      </c>
      <c r="J9" s="5">
        <f>RawData!G9</f>
        <v>654.5</v>
      </c>
      <c r="K9" s="5" t="str">
        <f>RawData!H9</f>
        <v>North</v>
      </c>
      <c r="L9" s="5" t="str">
        <f t="shared" si="1"/>
        <v>Jul</v>
      </c>
    </row>
    <row r="10">
      <c r="A10" s="5" t="str">
        <f>RawData!A10</f>
        <v>ORD-5009</v>
      </c>
      <c r="B10" s="8">
        <f>RawData!B10</f>
        <v>45864</v>
      </c>
      <c r="C10" s="5" t="str">
        <f>RawData!C10</f>
        <v>C2382</v>
      </c>
      <c r="D10" s="5" t="str">
        <f>VLOOKUP(C10, Customers!A:B,2,FALSE)</f>
        <v>Henry Morgan</v>
      </c>
      <c r="E10" s="5" t="str">
        <f>RawData!D10</f>
        <v>P1016</v>
      </c>
      <c r="F10" s="5" t="str">
        <f t="array" ref="F10">INDEX(Products!B:B, MATCH(E10, Products!A:A,0))</f>
        <v>Keyboard</v>
      </c>
      <c r="G10" s="5" t="str">
        <f t="array" ref="G10">XLOOKUP(E10, Products!A:A, Products!C:C)</f>
        <v>Electronics</v>
      </c>
      <c r="H10" s="5">
        <f>RawData!E10</f>
        <v>10</v>
      </c>
      <c r="I10" s="5">
        <f>RawData!F10</f>
        <v>156.45</v>
      </c>
      <c r="J10" s="5">
        <f>RawData!G10</f>
        <v>1564.5</v>
      </c>
      <c r="K10" s="5" t="str">
        <f>RawData!H10</f>
        <v>East</v>
      </c>
      <c r="L10" s="5" t="str">
        <f t="shared" si="1"/>
        <v>Jul</v>
      </c>
    </row>
    <row r="11">
      <c r="A11" s="5" t="str">
        <f>RawData!A11</f>
        <v>ORD-5010</v>
      </c>
      <c r="B11" s="8">
        <f>RawData!B11</f>
        <v>44647</v>
      </c>
      <c r="C11" s="5" t="str">
        <f>RawData!C11</f>
        <v>C2087</v>
      </c>
      <c r="D11" s="5" t="str">
        <f>VLOOKUP(C11, Customers!A:B,2,FALSE)</f>
        <v>Alexander Scott</v>
      </c>
      <c r="E11" s="5" t="str">
        <f>RawData!D11</f>
        <v>P1014</v>
      </c>
      <c r="F11" s="5" t="str">
        <f t="array" ref="F11">INDEX(Products!B:B, MATCH(E11, Products!A:A,0))</f>
        <v>Mouse</v>
      </c>
      <c r="G11" s="5" t="str">
        <f t="array" ref="G11">XLOOKUP(E11, Products!A:A, Products!C:C)</f>
        <v>Electronics</v>
      </c>
      <c r="H11" s="5">
        <f>RawData!E11</f>
        <v>5</v>
      </c>
      <c r="I11" s="5">
        <f>RawData!F11</f>
        <v>54.76</v>
      </c>
      <c r="J11" s="5">
        <f>RawData!G11</f>
        <v>273.8</v>
      </c>
      <c r="K11" s="5" t="str">
        <f>RawData!H11</f>
        <v>West</v>
      </c>
      <c r="L11" s="5" t="str">
        <f t="shared" si="1"/>
        <v>Mar</v>
      </c>
    </row>
    <row r="12">
      <c r="A12" s="5" t="str">
        <f>RawData!A12</f>
        <v>ORD-5011</v>
      </c>
      <c r="B12" s="8">
        <f>RawData!B12</f>
        <v>45032</v>
      </c>
      <c r="C12" s="5" t="str">
        <f>RawData!C12</f>
        <v>C2276</v>
      </c>
      <c r="D12" s="5" t="str">
        <f>VLOOKUP(C12, Customers!A:B,2,FALSE)</f>
        <v>Emma Watson</v>
      </c>
      <c r="E12" s="5" t="str">
        <f>RawData!D12</f>
        <v>P1005</v>
      </c>
      <c r="F12" s="5" t="str">
        <f t="array" ref="F12">INDEX(Products!B:B, MATCH(E12, Products!A:A,0))</f>
        <v>Chair</v>
      </c>
      <c r="G12" s="5" t="str">
        <f t="array" ref="G12">XLOOKUP(E12, Products!A:A, Products!C:C)</f>
        <v>Furniture</v>
      </c>
      <c r="H12" s="5">
        <f>RawData!E12</f>
        <v>5</v>
      </c>
      <c r="I12" s="5">
        <f>RawData!F12</f>
        <v>160.49</v>
      </c>
      <c r="J12" s="5">
        <f>RawData!G12</f>
        <v>802.45</v>
      </c>
      <c r="K12" s="5" t="str">
        <f>RawData!H12</f>
        <v>North</v>
      </c>
      <c r="L12" s="5" t="str">
        <f t="shared" si="1"/>
        <v>Apr</v>
      </c>
    </row>
    <row r="13">
      <c r="A13" s="5" t="str">
        <f>RawData!A13</f>
        <v>ORD-5012</v>
      </c>
      <c r="B13" s="8">
        <f>RawData!B13</f>
        <v>44829</v>
      </c>
      <c r="C13" s="5" t="str">
        <f>RawData!C13</f>
        <v>C2447</v>
      </c>
      <c r="D13" s="5" t="str">
        <f>VLOOKUP(C13, Customers!A:B,2,FALSE)</f>
        <v>Olivia Turner</v>
      </c>
      <c r="E13" s="5" t="str">
        <f>RawData!D13</f>
        <v>P1029</v>
      </c>
      <c r="F13" s="5" t="str">
        <f t="array" ref="F13">INDEX(Products!B:B, MATCH(E13, Products!A:A,0))</f>
        <v>Table</v>
      </c>
      <c r="G13" s="5" t="str">
        <f t="array" ref="G13">XLOOKUP(E13, Products!A:A, Products!C:C)</f>
        <v>Furniture</v>
      </c>
      <c r="H13" s="5">
        <f>RawData!E13</f>
        <v>1</v>
      </c>
      <c r="I13" s="5">
        <f>RawData!F13</f>
        <v>104.81</v>
      </c>
      <c r="J13" s="5">
        <f>RawData!G13</f>
        <v>104.81</v>
      </c>
      <c r="K13" s="5" t="str">
        <f>RawData!H13</f>
        <v>East</v>
      </c>
      <c r="L13" s="5" t="str">
        <f t="shared" si="1"/>
        <v>Sep</v>
      </c>
    </row>
    <row r="14">
      <c r="A14" s="5" t="str">
        <f>RawData!A14</f>
        <v>ORD-5013</v>
      </c>
      <c r="B14" s="8">
        <f>RawData!B14</f>
        <v>46055</v>
      </c>
      <c r="C14" s="5" t="str">
        <f>RawData!C14</f>
        <v>C2015</v>
      </c>
      <c r="D14" s="5" t="str">
        <f>VLOOKUP(C14, Customers!A:B,2,FALSE)</f>
        <v>Ava Mitchell</v>
      </c>
      <c r="E14" s="5" t="str">
        <f>RawData!D14</f>
        <v>P1014</v>
      </c>
      <c r="F14" s="5" t="str">
        <f t="array" ref="F14">INDEX(Products!B:B, MATCH(E14, Products!A:A,0))</f>
        <v>Mouse</v>
      </c>
      <c r="G14" s="5" t="str">
        <f t="array" ref="G14">XLOOKUP(E14, Products!A:A, Products!C:C)</f>
        <v>Electronics</v>
      </c>
      <c r="H14" s="5">
        <f>RawData!E14</f>
        <v>5</v>
      </c>
      <c r="I14" s="5">
        <f>RawData!F14</f>
        <v>54.76</v>
      </c>
      <c r="J14" s="5">
        <f>RawData!G14</f>
        <v>273.8</v>
      </c>
      <c r="K14" s="5" t="str">
        <f>RawData!H14</f>
        <v>East</v>
      </c>
      <c r="L14" s="5" t="str">
        <f t="shared" si="1"/>
        <v>Feb</v>
      </c>
    </row>
    <row r="15">
      <c r="A15" s="5" t="str">
        <f>RawData!A15</f>
        <v>ORD-5014</v>
      </c>
      <c r="B15" s="8">
        <f>RawData!B15</f>
        <v>45883</v>
      </c>
      <c r="C15" s="5" t="str">
        <f>RawData!C15</f>
        <v>C2496</v>
      </c>
      <c r="D15" s="5" t="str">
        <f>VLOOKUP(C15, Customers!A:B,2,FALSE)</f>
        <v>Sophia Parker</v>
      </c>
      <c r="E15" s="5" t="str">
        <f>RawData!D15</f>
        <v>P1041</v>
      </c>
      <c r="F15" s="5" t="str">
        <f t="array" ref="F15">INDEX(Products!B:B, MATCH(E15, Products!A:A,0))</f>
        <v>Sofa</v>
      </c>
      <c r="G15" s="5" t="str">
        <f t="array" ref="G15">XLOOKUP(E15, Products!A:A, Products!C:C)</f>
        <v>Furniture</v>
      </c>
      <c r="H15" s="5">
        <f>RawData!E15</f>
        <v>9</v>
      </c>
      <c r="I15" s="5">
        <f>RawData!F15</f>
        <v>133.47</v>
      </c>
      <c r="J15" s="5">
        <f>RawData!G15</f>
        <v>1201.23</v>
      </c>
      <c r="K15" s="5" t="str">
        <f>RawData!H15</f>
        <v>South</v>
      </c>
      <c r="L15" s="5" t="str">
        <f t="shared" si="1"/>
        <v>Aug</v>
      </c>
    </row>
    <row r="16">
      <c r="A16" s="5" t="str">
        <f>RawData!A16</f>
        <v>ORD-5015</v>
      </c>
      <c r="B16" s="8">
        <f>RawData!B16</f>
        <v>44960</v>
      </c>
      <c r="C16" s="5" t="str">
        <f>RawData!C16</f>
        <v>C2249</v>
      </c>
      <c r="D16" s="5" t="str">
        <f>VLOOKUP(C16, Customers!A:B,2,FALSE)</f>
        <v>Isabella Collins</v>
      </c>
      <c r="E16" s="5" t="str">
        <f>RawData!D16</f>
        <v>P1010</v>
      </c>
      <c r="F16" s="5" t="str">
        <f t="array" ref="F16">INDEX(Products!B:B, MATCH(E16, Products!A:A,0))</f>
        <v>Smartphone</v>
      </c>
      <c r="G16" s="5" t="str">
        <f t="array" ref="G16">XLOOKUP(E16, Products!A:A, Products!C:C)</f>
        <v>Electronics</v>
      </c>
      <c r="H16" s="5">
        <f>RawData!E16</f>
        <v>3</v>
      </c>
      <c r="I16" s="5">
        <f>RawData!F16</f>
        <v>75.41</v>
      </c>
      <c r="J16" s="5">
        <f>RawData!G16</f>
        <v>226.23</v>
      </c>
      <c r="K16" s="5" t="str">
        <f>RawData!H16</f>
        <v>South</v>
      </c>
      <c r="L16" s="5" t="str">
        <f t="shared" si="1"/>
        <v>Feb</v>
      </c>
    </row>
    <row r="17">
      <c r="A17" s="5" t="str">
        <f>RawData!A17</f>
        <v>ORD-5016</v>
      </c>
      <c r="B17" s="8">
        <f>RawData!B17</f>
        <v>45424</v>
      </c>
      <c r="C17" s="5" t="str">
        <f>RawData!C17</f>
        <v>C2457</v>
      </c>
      <c r="D17" s="5" t="str">
        <f>VLOOKUP(C17, Customers!A:B,2,FALSE)</f>
        <v>Mia Edwards</v>
      </c>
      <c r="E17" s="5" t="str">
        <f>RawData!D17</f>
        <v>P1041</v>
      </c>
      <c r="F17" s="5" t="str">
        <f t="array" ref="F17">INDEX(Products!B:B, MATCH(E17, Products!A:A,0))</f>
        <v>Sofa</v>
      </c>
      <c r="G17" s="5" t="str">
        <f t="array" ref="G17">XLOOKUP(E17, Products!A:A, Products!C:C)</f>
        <v>Furniture</v>
      </c>
      <c r="H17" s="5">
        <f>RawData!E17</f>
        <v>2</v>
      </c>
      <c r="I17" s="5">
        <f>RawData!F17</f>
        <v>133.47</v>
      </c>
      <c r="J17" s="5">
        <f>RawData!G17</f>
        <v>266.94</v>
      </c>
      <c r="K17" s="5" t="str">
        <f>RawData!H17</f>
        <v>North</v>
      </c>
      <c r="L17" s="5" t="str">
        <f t="shared" si="1"/>
        <v>May</v>
      </c>
    </row>
    <row r="18">
      <c r="A18" s="5" t="str">
        <f>RawData!A18</f>
        <v>ORD-5017</v>
      </c>
      <c r="B18" s="8">
        <f>RawData!B18</f>
        <v>45152</v>
      </c>
      <c r="C18" s="5" t="str">
        <f>RawData!C18</f>
        <v>C2391</v>
      </c>
      <c r="D18" s="5" t="str">
        <f>VLOOKUP(C18, Customers!A:B,2,FALSE)</f>
        <v>Charlotte Morris</v>
      </c>
      <c r="E18" s="5" t="str">
        <f>RawData!D18</f>
        <v>P1040</v>
      </c>
      <c r="F18" s="5" t="str">
        <f t="array" ref="F18">INDEX(Products!B:B, MATCH(E18, Products!A:A,0))</f>
        <v>Bed</v>
      </c>
      <c r="G18" s="5" t="str">
        <f t="array" ref="G18">XLOOKUP(E18, Products!A:A, Products!C:C)</f>
        <v>Furniture</v>
      </c>
      <c r="H18" s="5">
        <f>RawData!E18</f>
        <v>7</v>
      </c>
      <c r="I18" s="5">
        <f>RawData!F18</f>
        <v>161.81</v>
      </c>
      <c r="J18" s="5">
        <f>RawData!G18</f>
        <v>1132.67</v>
      </c>
      <c r="K18" s="5" t="str">
        <f>RawData!H18</f>
        <v>North</v>
      </c>
      <c r="L18" s="5" t="str">
        <f t="shared" si="1"/>
        <v>Aug</v>
      </c>
    </row>
    <row r="19">
      <c r="A19" s="5" t="str">
        <f>RawData!A19</f>
        <v>ORD-5018</v>
      </c>
      <c r="B19" s="8">
        <f>RawData!B19</f>
        <v>46055</v>
      </c>
      <c r="C19" s="5" t="str">
        <f>RawData!C19</f>
        <v>C2385</v>
      </c>
      <c r="D19" s="5" t="str">
        <f>VLOOKUP(C19, Customers!A:B,2,FALSE)</f>
        <v>Amelia Rogers</v>
      </c>
      <c r="E19" s="5" t="str">
        <f>RawData!D19</f>
        <v>P1046</v>
      </c>
      <c r="F19" s="5" t="str">
        <f t="array" ref="F19">INDEX(Products!B:B, MATCH(E19, Products!A:A,0))</f>
        <v>Laptop</v>
      </c>
      <c r="G19" s="5" t="str">
        <f t="array" ref="G19">XLOOKUP(E19, Products!A:A, Products!C:C)</f>
        <v>Electronics</v>
      </c>
      <c r="H19" s="5">
        <f>RawData!E19</f>
        <v>6</v>
      </c>
      <c r="I19" s="5">
        <f>RawData!F19</f>
        <v>83.01</v>
      </c>
      <c r="J19" s="5">
        <f>RawData!G19</f>
        <v>498.06</v>
      </c>
      <c r="K19" s="5" t="str">
        <f>RawData!H19</f>
        <v>West</v>
      </c>
      <c r="L19" s="5" t="str">
        <f t="shared" si="1"/>
        <v>Feb</v>
      </c>
    </row>
    <row r="20">
      <c r="A20" s="5" t="str">
        <f>RawData!A20</f>
        <v>ORD-5019</v>
      </c>
      <c r="B20" s="8">
        <f>RawData!B20</f>
        <v>44711</v>
      </c>
      <c r="C20" s="5" t="str">
        <f>RawData!C20</f>
        <v>C2211</v>
      </c>
      <c r="D20" s="5" t="str">
        <f>VLOOKUP(C20, Customers!A:B,2,FALSE)</f>
        <v>Harper Cook</v>
      </c>
      <c r="E20" s="5" t="str">
        <f>RawData!D20</f>
        <v>P1037</v>
      </c>
      <c r="F20" s="5" t="str">
        <f t="array" ref="F20">INDEX(Products!B:B, MATCH(E20, Products!A:A,0))</f>
        <v>Tablet</v>
      </c>
      <c r="G20" s="5" t="str">
        <f t="array" ref="G20">XLOOKUP(E20, Products!A:A, Products!C:C)</f>
        <v>Electronics</v>
      </c>
      <c r="H20" s="5">
        <f>RawData!E20</f>
        <v>10</v>
      </c>
      <c r="I20" s="5">
        <f>RawData!F20</f>
        <v>115.76</v>
      </c>
      <c r="J20" s="5">
        <f>RawData!G20</f>
        <v>1157.6</v>
      </c>
      <c r="K20" s="5" t="str">
        <f>RawData!H20</f>
        <v>North</v>
      </c>
      <c r="L20" s="5" t="str">
        <f t="shared" si="1"/>
        <v>May</v>
      </c>
    </row>
    <row r="21">
      <c r="A21" s="5" t="str">
        <f>RawData!A21</f>
        <v>ORD-5020</v>
      </c>
      <c r="B21" s="8">
        <f>RawData!B21</f>
        <v>45419</v>
      </c>
      <c r="C21" s="5" t="str">
        <f>RawData!C21</f>
        <v>C2037</v>
      </c>
      <c r="D21" s="5" t="str">
        <f>VLOOKUP(C21, Customers!A:B,2,FALSE)</f>
        <v>Evelyn Bell</v>
      </c>
      <c r="E21" s="5" t="str">
        <f>RawData!D21</f>
        <v>P1001</v>
      </c>
      <c r="F21" s="5" t="str">
        <f t="array" ref="F21">INDEX(Products!B:B, MATCH(E21, Products!A:A,0))</f>
        <v>Headphones</v>
      </c>
      <c r="G21" s="5" t="str">
        <f t="array" ref="G21">XLOOKUP(E21, Products!A:A, Products!C:C)</f>
        <v>Electronics</v>
      </c>
      <c r="H21" s="5">
        <f>RawData!E21</f>
        <v>8</v>
      </c>
      <c r="I21" s="5">
        <f>RawData!F21</f>
        <v>144.69</v>
      </c>
      <c r="J21" s="5">
        <f>RawData!G21</f>
        <v>1157.52</v>
      </c>
      <c r="K21" s="5" t="str">
        <f>RawData!H21</f>
        <v>East</v>
      </c>
      <c r="L21" s="5" t="str">
        <f t="shared" si="1"/>
        <v>May</v>
      </c>
    </row>
    <row r="22">
      <c r="A22" s="5" t="str">
        <f>RawData!A22</f>
        <v>ORD-5021</v>
      </c>
      <c r="B22" s="8">
        <f>RawData!B22</f>
        <v>45054</v>
      </c>
      <c r="C22" s="5" t="str">
        <f>RawData!C22</f>
        <v>C2254</v>
      </c>
      <c r="D22" s="5" t="str">
        <f>VLOOKUP(C22, Customers!A:B,2,FALSE)</f>
        <v>Daniel Walker</v>
      </c>
      <c r="E22" s="5" t="str">
        <f>RawData!D22</f>
        <v>P1013</v>
      </c>
      <c r="F22" s="5" t="str">
        <f t="array" ref="F22">INDEX(Products!B:B, MATCH(E22, Products!A:A,0))</f>
        <v>Wardrobe</v>
      </c>
      <c r="G22" s="5" t="str">
        <f t="array" ref="G22">XLOOKUP(E22, Products!A:A, Products!C:C)</f>
        <v>Furniture</v>
      </c>
      <c r="H22" s="5">
        <f>RawData!E22</f>
        <v>2</v>
      </c>
      <c r="I22" s="5">
        <f>RawData!F22</f>
        <v>59.18</v>
      </c>
      <c r="J22" s="5">
        <f>RawData!G22</f>
        <v>118.36</v>
      </c>
      <c r="K22" s="5" t="str">
        <f>RawData!H22</f>
        <v>East</v>
      </c>
      <c r="L22" s="5" t="str">
        <f t="shared" si="1"/>
        <v>May</v>
      </c>
    </row>
    <row r="23">
      <c r="A23" s="5" t="str">
        <f>RawData!A23</f>
        <v>ORD-5022</v>
      </c>
      <c r="B23" s="8">
        <f>RawData!B23</f>
        <v>45968</v>
      </c>
      <c r="C23" s="5" t="str">
        <f>RawData!C23</f>
        <v>C2360</v>
      </c>
      <c r="D23" s="5" t="str">
        <f>VLOOKUP(C23, Customers!A:B,2,FALSE)</f>
        <v>Micheal Gray</v>
      </c>
      <c r="E23" s="5" t="str">
        <f>RawData!D23</f>
        <v>P1005</v>
      </c>
      <c r="F23" s="5" t="str">
        <f t="array" ref="F23">INDEX(Products!B:B, MATCH(E23, Products!A:A,0))</f>
        <v>Chair</v>
      </c>
      <c r="G23" s="5" t="str">
        <f t="array" ref="G23">XLOOKUP(E23, Products!A:A, Products!C:C)</f>
        <v>Furniture</v>
      </c>
      <c r="H23" s="5">
        <f>RawData!E23</f>
        <v>10</v>
      </c>
      <c r="I23" s="5">
        <f>RawData!F23</f>
        <v>160.49</v>
      </c>
      <c r="J23" s="5">
        <f>RawData!G23</f>
        <v>1604.9</v>
      </c>
      <c r="K23" s="5" t="str">
        <f>RawData!H23</f>
        <v>South</v>
      </c>
      <c r="L23" s="5" t="str">
        <f t="shared" si="1"/>
        <v>Nov</v>
      </c>
    </row>
    <row r="24">
      <c r="A24" s="5" t="str">
        <f>RawData!A24</f>
        <v>ORD-5023</v>
      </c>
      <c r="B24" s="8">
        <f>RawData!B24</f>
        <v>44975</v>
      </c>
      <c r="C24" s="5" t="str">
        <f>RawData!C24</f>
        <v>C2455</v>
      </c>
      <c r="D24" s="5" t="str">
        <f>VLOOKUP(C24, Customers!A:B,2,FALSE)</f>
        <v>Ethan Ward</v>
      </c>
      <c r="E24" s="5" t="str">
        <f>RawData!D24</f>
        <v>P1028</v>
      </c>
      <c r="F24" s="5" t="str">
        <f t="array" ref="F24">INDEX(Products!B:B, MATCH(E24, Products!A:A,0))</f>
        <v>Shoes</v>
      </c>
      <c r="G24" s="5" t="str">
        <f t="array" ref="G24">XLOOKUP(E24, Products!A:A, Products!C:C)</f>
        <v>Furniture</v>
      </c>
      <c r="H24" s="5">
        <f>RawData!E24</f>
        <v>2</v>
      </c>
      <c r="I24" s="5">
        <f>RawData!F24</f>
        <v>82.34</v>
      </c>
      <c r="J24" s="5">
        <f>RawData!G24</f>
        <v>164.68</v>
      </c>
      <c r="K24" s="5" t="str">
        <f>RawData!H24</f>
        <v>West</v>
      </c>
      <c r="L24" s="5" t="str">
        <f t="shared" si="1"/>
        <v>Feb</v>
      </c>
    </row>
    <row r="25">
      <c r="A25" s="5" t="str">
        <f>RawData!A25</f>
        <v>ORD-5024</v>
      </c>
      <c r="B25" s="8">
        <f>RawData!B25</f>
        <v>45657</v>
      </c>
      <c r="C25" s="5" t="str">
        <f>RawData!C25</f>
        <v>C2089</v>
      </c>
      <c r="D25" s="5" t="str">
        <f>VLOOKUP(C25, Customers!A:B,2,FALSE)</f>
        <v>Jacob Cox</v>
      </c>
      <c r="E25" s="5" t="str">
        <f>RawData!D25</f>
        <v>P1032</v>
      </c>
      <c r="F25" s="5" t="str">
        <f t="array" ref="F25">INDEX(Products!B:B, MATCH(E25, Products!A:A,0))</f>
        <v>T-Shirt</v>
      </c>
      <c r="G25" s="5" t="str">
        <f t="array" ref="G25">XLOOKUP(E25, Products!A:A, Products!C:C)</f>
        <v>Fashion</v>
      </c>
      <c r="H25" s="5">
        <f>RawData!E25</f>
        <v>2</v>
      </c>
      <c r="I25" s="5">
        <f>RawData!F25</f>
        <v>52.33</v>
      </c>
      <c r="J25" s="5">
        <f>RawData!G25</f>
        <v>104.66</v>
      </c>
      <c r="K25" s="5" t="str">
        <f>RawData!H25</f>
        <v>South</v>
      </c>
      <c r="L25" s="5" t="str">
        <f t="shared" si="1"/>
        <v>Dec</v>
      </c>
    </row>
    <row r="26">
      <c r="A26" s="5" t="str">
        <f>RawData!A26</f>
        <v>ORD-5025</v>
      </c>
      <c r="B26" s="8">
        <f>RawData!B26</f>
        <v>45975</v>
      </c>
      <c r="C26" s="5" t="str">
        <f>RawData!C26</f>
        <v>C2362</v>
      </c>
      <c r="D26" s="5" t="str">
        <f>VLOOKUP(C26, Customers!A:B,2,FALSE)</f>
        <v>Logan Price</v>
      </c>
      <c r="E26" s="5" t="str">
        <f>RawData!D26</f>
        <v>P1043</v>
      </c>
      <c r="F26" s="5" t="str">
        <f t="array" ref="F26">INDEX(Products!B:B, MATCH(E26, Products!A:A,0))</f>
        <v>Jeans</v>
      </c>
      <c r="G26" s="5" t="str">
        <f t="array" ref="G26">XLOOKUP(E26, Products!A:A, Products!C:C)</f>
        <v>Fashion</v>
      </c>
      <c r="H26" s="5">
        <f>RawData!E26</f>
        <v>5</v>
      </c>
      <c r="I26" s="5">
        <f>RawData!F26</f>
        <v>183.75</v>
      </c>
      <c r="J26" s="5">
        <f>RawData!G26</f>
        <v>918.75</v>
      </c>
      <c r="K26" s="5" t="str">
        <f>RawData!H26</f>
        <v>North</v>
      </c>
      <c r="L26" s="5" t="str">
        <f t="shared" si="1"/>
        <v>Nov</v>
      </c>
    </row>
    <row r="27">
      <c r="A27" s="5" t="str">
        <f>RawData!A27</f>
        <v>ORD-5026</v>
      </c>
      <c r="B27" s="8">
        <f>RawData!B27</f>
        <v>45532</v>
      </c>
      <c r="C27" s="5" t="str">
        <f>RawData!C27</f>
        <v>C2157</v>
      </c>
      <c r="D27" s="5" t="str">
        <f>VLOOKUP(C27, Customers!A:B,2,FALSE)</f>
        <v>Chloe Simmons</v>
      </c>
      <c r="E27" s="5" t="str">
        <f>RawData!D27</f>
        <v>P1008</v>
      </c>
      <c r="F27" s="5" t="str">
        <f t="array" ref="F27">INDEX(Products!B:B, MATCH(E27, Products!A:A,0))</f>
        <v>Watch</v>
      </c>
      <c r="G27" s="5" t="str">
        <f t="array" ref="G27">XLOOKUP(E27, Products!A:A, Products!C:C)</f>
        <v>Accessories</v>
      </c>
      <c r="H27" s="5">
        <f>RawData!E27</f>
        <v>2</v>
      </c>
      <c r="I27" s="5">
        <f>RawData!F27</f>
        <v>190.65</v>
      </c>
      <c r="J27" s="5">
        <f>RawData!G27</f>
        <v>381.3</v>
      </c>
      <c r="K27" s="5" t="str">
        <f>RawData!H27</f>
        <v>East</v>
      </c>
      <c r="L27" s="5" t="str">
        <f t="shared" si="1"/>
        <v>Aug</v>
      </c>
    </row>
    <row r="28">
      <c r="A28" s="5" t="str">
        <f>RawData!A28</f>
        <v>ORD-5027</v>
      </c>
      <c r="B28" s="8">
        <f>RawData!B28</f>
        <v>44882</v>
      </c>
      <c r="C28" s="5" t="str">
        <f>RawData!C28</f>
        <v>C2157</v>
      </c>
      <c r="D28" s="5" t="str">
        <f>VLOOKUP(C28, Customers!A:B,2,FALSE)</f>
        <v>Chloe Simmons</v>
      </c>
      <c r="E28" s="5" t="str">
        <f>RawData!D28</f>
        <v>P1049</v>
      </c>
      <c r="F28" s="5" t="str">
        <f t="array" ref="F28">INDEX(Products!B:B, MATCH(E28, Products!A:A,0))</f>
        <v>Bag</v>
      </c>
      <c r="G28" s="5" t="str">
        <f t="array" ref="G28">XLOOKUP(E28, Products!A:A, Products!C:C)</f>
        <v>Accessories</v>
      </c>
      <c r="H28" s="5">
        <f>RawData!E28</f>
        <v>8</v>
      </c>
      <c r="I28" s="5">
        <f>RawData!F28</f>
        <v>62.86</v>
      </c>
      <c r="J28" s="5">
        <f>RawData!G28</f>
        <v>502.88</v>
      </c>
      <c r="K28" s="5" t="str">
        <f>RawData!H28</f>
        <v>South</v>
      </c>
      <c r="L28" s="5" t="str">
        <f t="shared" si="1"/>
        <v>Nov</v>
      </c>
    </row>
    <row r="29">
      <c r="A29" s="5" t="str">
        <f>RawData!A29</f>
        <v>ORD-5028</v>
      </c>
      <c r="B29" s="8">
        <f>RawData!B29</f>
        <v>45935</v>
      </c>
      <c r="C29" s="5" t="str">
        <f>RawData!C29</f>
        <v>C2295</v>
      </c>
      <c r="D29" s="5" t="str">
        <f>VLOOKUP(C29, Customers!A:B,2,FALSE)</f>
        <v>Lily Butler</v>
      </c>
      <c r="E29" s="5" t="str">
        <f>RawData!D29</f>
        <v>P1016</v>
      </c>
      <c r="F29" s="5" t="str">
        <f t="array" ref="F29">INDEX(Products!B:B, MATCH(E29, Products!A:A,0))</f>
        <v>Keyboard</v>
      </c>
      <c r="G29" s="5" t="str">
        <f t="array" ref="G29">XLOOKUP(E29, Products!A:A, Products!C:C)</f>
        <v>Electronics</v>
      </c>
      <c r="H29" s="5">
        <f>RawData!E29</f>
        <v>10</v>
      </c>
      <c r="I29" s="5">
        <f>RawData!F29</f>
        <v>156.45</v>
      </c>
      <c r="J29" s="5">
        <f>RawData!G29</f>
        <v>1564.5</v>
      </c>
      <c r="K29" s="5" t="str">
        <f>RawData!H29</f>
        <v>North</v>
      </c>
      <c r="L29" s="5" t="str">
        <f t="shared" si="1"/>
        <v>Oct</v>
      </c>
    </row>
    <row r="30">
      <c r="A30" s="5" t="str">
        <f>RawData!A30</f>
        <v>ORD-5029</v>
      </c>
      <c r="B30" s="8">
        <f>RawData!B30</f>
        <v>45040</v>
      </c>
      <c r="C30" s="5" t="str">
        <f>RawData!C30</f>
        <v>C2002</v>
      </c>
      <c r="D30" s="5" t="str">
        <f>VLOOKUP(C30, Customers!A:B,2,FALSE)</f>
        <v>Grace Hughes</v>
      </c>
      <c r="E30" s="5" t="str">
        <f>RawData!D30</f>
        <v>P1038</v>
      </c>
      <c r="F30" s="5" t="str">
        <f t="array" ref="F30">INDEX(Products!B:B, MATCH(E30, Products!A:A,0))</f>
        <v>Sunglasses</v>
      </c>
      <c r="G30" s="5" t="str">
        <f t="array" ref="G30">XLOOKUP(E30, Products!A:A, Products!C:C)</f>
        <v>Accessories</v>
      </c>
      <c r="H30" s="5">
        <f>RawData!E30</f>
        <v>10</v>
      </c>
      <c r="I30" s="5">
        <f>RawData!F30</f>
        <v>73.93</v>
      </c>
      <c r="J30" s="5">
        <f>RawData!G30</f>
        <v>739.3</v>
      </c>
      <c r="K30" s="5" t="str">
        <f>RawData!H30</f>
        <v>North</v>
      </c>
      <c r="L30" s="5" t="str">
        <f t="shared" si="1"/>
        <v>Apr</v>
      </c>
    </row>
    <row r="31">
      <c r="A31" s="5" t="str">
        <f>RawData!A31</f>
        <v>ORD-5030</v>
      </c>
      <c r="B31" s="8">
        <f>RawData!B31</f>
        <v>45680</v>
      </c>
      <c r="C31" s="5" t="str">
        <f>RawData!C31</f>
        <v>C2139</v>
      </c>
      <c r="D31" s="5" t="str">
        <f>VLOOKUP(C31, Customers!A:B,2,FALSE)</f>
        <v>Zoe Bryant</v>
      </c>
      <c r="E31" s="5" t="str">
        <f>RawData!D31</f>
        <v>P1007</v>
      </c>
      <c r="F31" s="5" t="str">
        <f t="array" ref="F31">INDEX(Products!B:B, MATCH(E31, Products!A:A,0))</f>
        <v>Belt</v>
      </c>
      <c r="G31" s="5" t="str">
        <f t="array" ref="G31">XLOOKUP(E31, Products!A:A, Products!C:C)</f>
        <v>Accessories</v>
      </c>
      <c r="H31" s="5">
        <f>RawData!E31</f>
        <v>3</v>
      </c>
      <c r="I31" s="5">
        <f>RawData!F31</f>
        <v>37.05</v>
      </c>
      <c r="J31" s="5">
        <f>RawData!G31</f>
        <v>111.15</v>
      </c>
      <c r="K31" s="5" t="str">
        <f>RawData!H31</f>
        <v>East</v>
      </c>
      <c r="L31" s="5" t="str">
        <f t="shared" si="1"/>
        <v>Jan</v>
      </c>
    </row>
    <row r="32">
      <c r="A32" s="5" t="str">
        <f>RawData!A32</f>
        <v>ORD-5031</v>
      </c>
      <c r="B32" s="8">
        <f>RawData!B32</f>
        <v>45848</v>
      </c>
      <c r="C32" s="5" t="str">
        <f>RawData!C32</f>
        <v>C2139</v>
      </c>
      <c r="D32" s="5" t="str">
        <f>VLOOKUP(C32, Customers!A:B,2,FALSE)</f>
        <v>Zoe Bryant</v>
      </c>
      <c r="E32" s="5" t="str">
        <f>RawData!D32</f>
        <v>P1049</v>
      </c>
      <c r="F32" s="5" t="str">
        <f t="array" ref="F32">INDEX(Products!B:B, MATCH(E32, Products!A:A,0))</f>
        <v>Bag</v>
      </c>
      <c r="G32" s="5" t="str">
        <f t="array" ref="G32">XLOOKUP(E32, Products!A:A, Products!C:C)</f>
        <v>Accessories</v>
      </c>
      <c r="H32" s="5">
        <f>RawData!E32</f>
        <v>7</v>
      </c>
      <c r="I32" s="5">
        <f>RawData!F32</f>
        <v>62.86</v>
      </c>
      <c r="J32" s="5">
        <f>RawData!G32</f>
        <v>440.02</v>
      </c>
      <c r="K32" s="5" t="str">
        <f>RawData!H32</f>
        <v>East</v>
      </c>
      <c r="L32" s="5" t="str">
        <f t="shared" si="1"/>
        <v>Jul</v>
      </c>
    </row>
    <row r="33">
      <c r="A33" s="5" t="str">
        <f>RawData!A33</f>
        <v>ORD-5032</v>
      </c>
      <c r="B33" s="8">
        <f>RawData!B33</f>
        <v>44919</v>
      </c>
      <c r="C33" s="5" t="str">
        <f>RawData!C33</f>
        <v>C2170</v>
      </c>
      <c r="D33" s="5" t="str">
        <f>VLOOKUP(C33, Customers!A:B,2,FALSE)</f>
        <v>Hannah Perry</v>
      </c>
      <c r="E33" s="5" t="str">
        <f>RawData!D33</f>
        <v>P1025</v>
      </c>
      <c r="F33" s="5" t="str">
        <f t="array" ref="F33">INDEX(Products!B:B, MATCH(E33, Products!A:A,0))</f>
        <v>Monitor</v>
      </c>
      <c r="G33" s="5" t="str">
        <f t="array" ref="G33">XLOOKUP(E33, Products!A:A, Products!C:C)</f>
        <v>Electronics</v>
      </c>
      <c r="H33" s="5">
        <f>RawData!E33</f>
        <v>3</v>
      </c>
      <c r="I33" s="5">
        <f>RawData!F33</f>
        <v>65.45</v>
      </c>
      <c r="J33" s="5">
        <f>RawData!G33</f>
        <v>196.35</v>
      </c>
      <c r="K33" s="5" t="str">
        <f>RawData!H33</f>
        <v>North</v>
      </c>
      <c r="L33" s="5" t="str">
        <f t="shared" si="1"/>
        <v>Dec</v>
      </c>
    </row>
    <row r="34">
      <c r="A34" s="5" t="str">
        <f>RawData!A34</f>
        <v>ORD-5033</v>
      </c>
      <c r="B34" s="8">
        <f>RawData!B34</f>
        <v>45891</v>
      </c>
      <c r="C34" s="5" t="str">
        <f>RawData!C34</f>
        <v>C2068</v>
      </c>
      <c r="D34" s="5" t="str">
        <f>VLOOKUP(C34, Customers!A:B,2,FALSE)</f>
        <v/>
      </c>
      <c r="E34" s="5" t="str">
        <f>RawData!D34</f>
        <v>P1032</v>
      </c>
      <c r="F34" s="5" t="str">
        <f t="array" ref="F34">INDEX(Products!B:B, MATCH(E34, Products!A:A,0))</f>
        <v>T-Shirt</v>
      </c>
      <c r="G34" s="5" t="str">
        <f t="array" ref="G34">XLOOKUP(E34, Products!A:A, Products!C:C)</f>
        <v>Fashion</v>
      </c>
      <c r="H34" s="5">
        <f>RawData!E34</f>
        <v>4</v>
      </c>
      <c r="I34" s="5">
        <f>RawData!F34</f>
        <v>52.33</v>
      </c>
      <c r="J34" s="5">
        <f>RawData!G34</f>
        <v>209.32</v>
      </c>
      <c r="K34" s="5" t="str">
        <f>RawData!H34</f>
        <v>South</v>
      </c>
      <c r="L34" s="5" t="str">
        <f t="shared" si="1"/>
        <v>Aug</v>
      </c>
    </row>
    <row r="35">
      <c r="A35" s="5" t="str">
        <f>RawData!A35</f>
        <v>ORD-5034</v>
      </c>
      <c r="B35" s="8">
        <f>RawData!B35</f>
        <v>45017</v>
      </c>
      <c r="C35" s="5" t="str">
        <f>RawData!C35</f>
        <v>C2042</v>
      </c>
      <c r="D35" s="5" t="str">
        <f>VLOOKUP(C35, Customers!A:B,2,FALSE)</f>
        <v/>
      </c>
      <c r="E35" s="5" t="str">
        <f>RawData!D35</f>
        <v>P1011</v>
      </c>
      <c r="F35" s="5" t="str">
        <f t="array" ref="F35">INDEX(Products!B:B, MATCH(E35, Products!A:A,0))</f>
        <v>Bottle</v>
      </c>
      <c r="G35" s="5" t="str">
        <f t="array" ref="G35">XLOOKUP(E35, Products!A:A, Products!C:C)</f>
        <v>Home</v>
      </c>
      <c r="H35" s="5">
        <f>RawData!E35</f>
        <v>5</v>
      </c>
      <c r="I35" s="5">
        <f>RawData!F35</f>
        <v>114.21</v>
      </c>
      <c r="J35" s="5">
        <f>RawData!G35</f>
        <v>571.05</v>
      </c>
      <c r="K35" s="5" t="str">
        <f>RawData!H35</f>
        <v>West</v>
      </c>
      <c r="L35" s="5" t="str">
        <f t="shared" si="1"/>
        <v>Apr</v>
      </c>
    </row>
    <row r="36">
      <c r="A36" s="5" t="str">
        <f>RawData!A36</f>
        <v>ORD-5035</v>
      </c>
      <c r="B36" s="8">
        <f>RawData!B36</f>
        <v>45768</v>
      </c>
      <c r="C36" s="5" t="str">
        <f>RawData!C36</f>
        <v>C2152</v>
      </c>
      <c r="D36" s="5" t="str">
        <f>VLOOKUP(C36, Customers!A:B,2,FALSE)</f>
        <v/>
      </c>
      <c r="E36" s="5" t="str">
        <f>RawData!D36</f>
        <v>P1003</v>
      </c>
      <c r="F36" s="5" t="str">
        <f t="array" ref="F36">INDEX(Products!B:B, MATCH(E36, Products!A:A,0))</f>
        <v>Camera</v>
      </c>
      <c r="G36" s="5" t="str">
        <f t="array" ref="G36">XLOOKUP(E36, Products!A:A, Products!C:C)</f>
        <v>Electronics</v>
      </c>
      <c r="H36" s="5">
        <f>RawData!E36</f>
        <v>5</v>
      </c>
      <c r="I36" s="5">
        <f>RawData!F36</f>
        <v>187.26</v>
      </c>
      <c r="J36" s="5">
        <f>RawData!G36</f>
        <v>936.3</v>
      </c>
      <c r="K36" s="5" t="str">
        <f>RawData!H36</f>
        <v>South</v>
      </c>
      <c r="L36" s="5" t="str">
        <f t="shared" si="1"/>
        <v>Apr</v>
      </c>
    </row>
    <row r="37">
      <c r="A37" s="5" t="str">
        <f>RawData!A37</f>
        <v>ORD-5036</v>
      </c>
      <c r="B37" s="8">
        <f>RawData!B37</f>
        <v>44867</v>
      </c>
      <c r="C37" s="5" t="str">
        <f>RawData!C37</f>
        <v>C2399</v>
      </c>
      <c r="D37" s="5" t="str">
        <f>VLOOKUP(C37, Customers!A:B,2,FALSE)</f>
        <v/>
      </c>
      <c r="E37" s="5" t="str">
        <f>RawData!D37</f>
        <v>P1026</v>
      </c>
      <c r="F37" s="5" t="str">
        <f t="array" ref="F37">INDEX(Products!B:B, MATCH(E37, Products!A:A,0))</f>
        <v>Lamp</v>
      </c>
      <c r="G37" s="5" t="str">
        <f t="array" ref="G37">XLOOKUP(E37, Products!A:A, Products!C:C)</f>
        <v>Home</v>
      </c>
      <c r="H37" s="5">
        <f>RawData!E37</f>
        <v>2</v>
      </c>
      <c r="I37" s="5">
        <f>RawData!F37</f>
        <v>128.23</v>
      </c>
      <c r="J37" s="5">
        <f>RawData!G37</f>
        <v>256.46</v>
      </c>
      <c r="K37" s="5" t="str">
        <f>RawData!H37</f>
        <v>West</v>
      </c>
      <c r="L37" s="5" t="str">
        <f t="shared" si="1"/>
        <v>Nov</v>
      </c>
    </row>
    <row r="38">
      <c r="A38" s="5" t="str">
        <f>RawData!A38</f>
        <v>ORD-5037</v>
      </c>
      <c r="B38" s="8">
        <f>RawData!B38</f>
        <v>44983</v>
      </c>
      <c r="C38" s="5" t="str">
        <f>RawData!C38</f>
        <v>C2423</v>
      </c>
      <c r="D38" s="5" t="str">
        <f>VLOOKUP(C38, Customers!A:B,2,FALSE)</f>
        <v/>
      </c>
      <c r="E38" s="5" t="str">
        <f>RawData!D38</f>
        <v>P1005</v>
      </c>
      <c r="F38" s="5" t="str">
        <f t="array" ref="F38">INDEX(Products!B:B, MATCH(E38, Products!A:A,0))</f>
        <v>Chair</v>
      </c>
      <c r="G38" s="5" t="str">
        <f t="array" ref="G38">XLOOKUP(E38, Products!A:A, Products!C:C)</f>
        <v>Furniture</v>
      </c>
      <c r="H38" s="5">
        <f>RawData!E38</f>
        <v>6</v>
      </c>
      <c r="I38" s="5">
        <f>RawData!F38</f>
        <v>160.49</v>
      </c>
      <c r="J38" s="5">
        <f>RawData!G38</f>
        <v>962.94</v>
      </c>
      <c r="K38" s="5" t="str">
        <f>RawData!H38</f>
        <v>South</v>
      </c>
      <c r="L38" s="5" t="str">
        <f t="shared" si="1"/>
        <v>Feb</v>
      </c>
    </row>
    <row r="39">
      <c r="A39" s="5" t="str">
        <f>RawData!A39</f>
        <v>ORD-5038</v>
      </c>
      <c r="B39" s="8">
        <f>RawData!B39</f>
        <v>45676</v>
      </c>
      <c r="C39" s="5" t="str">
        <f>RawData!C39</f>
        <v>C2099</v>
      </c>
      <c r="D39" s="5" t="str">
        <f>VLOOKUP(C39, Customers!A:B,2,FALSE)</f>
        <v/>
      </c>
      <c r="E39" s="5" t="str">
        <f>RawData!D39</f>
        <v>P1009</v>
      </c>
      <c r="F39" s="5" t="str">
        <f t="array" ref="F39">INDEX(Products!B:B, MATCH(E39, Products!A:A,0))</f>
        <v>Laptop</v>
      </c>
      <c r="G39" s="5" t="str">
        <f t="array" ref="G39">XLOOKUP(E39, Products!A:A, Products!C:C)</f>
        <v>Electronics</v>
      </c>
      <c r="H39" s="5">
        <f>RawData!E39</f>
        <v>3</v>
      </c>
      <c r="I39" s="5">
        <f>RawData!F39</f>
        <v>74.83</v>
      </c>
      <c r="J39" s="5">
        <f>RawData!G39</f>
        <v>224.49</v>
      </c>
      <c r="K39" s="5" t="str">
        <f>RawData!H39</f>
        <v>East</v>
      </c>
      <c r="L39" s="5" t="str">
        <f t="shared" si="1"/>
        <v>Jan</v>
      </c>
    </row>
    <row r="40">
      <c r="A40" s="5" t="str">
        <f>RawData!A40</f>
        <v>ORD-5039</v>
      </c>
      <c r="B40" s="8">
        <f>RawData!B40</f>
        <v>45092</v>
      </c>
      <c r="C40" s="5" t="str">
        <f>RawData!C40</f>
        <v>C2088</v>
      </c>
      <c r="D40" s="5" t="str">
        <f>VLOOKUP(C40, Customers!A:B,2,FALSE)</f>
        <v/>
      </c>
      <c r="E40" s="5" t="str">
        <f>RawData!D40</f>
        <v>P1038</v>
      </c>
      <c r="F40" s="5" t="str">
        <f t="array" ref="F40">INDEX(Products!B:B, MATCH(E40, Products!A:A,0))</f>
        <v>Sunglasses</v>
      </c>
      <c r="G40" s="5" t="str">
        <f t="array" ref="G40">XLOOKUP(E40, Products!A:A, Products!C:C)</f>
        <v>Accessories</v>
      </c>
      <c r="H40" s="5">
        <f>RawData!E40</f>
        <v>4</v>
      </c>
      <c r="I40" s="5">
        <f>RawData!F40</f>
        <v>73.93</v>
      </c>
      <c r="J40" s="5">
        <f>RawData!G40</f>
        <v>295.72</v>
      </c>
      <c r="K40" s="5" t="str">
        <f>RawData!H40</f>
        <v>North</v>
      </c>
      <c r="L40" s="5" t="str">
        <f t="shared" si="1"/>
        <v>Jun</v>
      </c>
    </row>
    <row r="41">
      <c r="A41" s="5" t="str">
        <f>RawData!A41</f>
        <v>ORD-5040</v>
      </c>
      <c r="B41" s="8">
        <f>RawData!B41</f>
        <v>44591</v>
      </c>
      <c r="C41" s="5" t="str">
        <f>RawData!C41</f>
        <v>C2145</v>
      </c>
      <c r="D41" s="5" t="str">
        <f>VLOOKUP(C41, Customers!A:B,2,FALSE)</f>
        <v/>
      </c>
      <c r="E41" s="5" t="str">
        <f>RawData!D41</f>
        <v>P1034</v>
      </c>
      <c r="F41" s="5" t="str">
        <f t="array" ref="F41">INDEX(Products!B:B, MATCH(E41, Products!A:A,0))</f>
        <v>Smartphone</v>
      </c>
      <c r="G41" s="5" t="str">
        <f t="array" ref="G41">XLOOKUP(E41, Products!A:A, Products!C:C)</f>
        <v>Electronics</v>
      </c>
      <c r="H41" s="5">
        <f>RawData!E41</f>
        <v>9</v>
      </c>
      <c r="I41" s="5">
        <f>RawData!F41</f>
        <v>191.23</v>
      </c>
      <c r="J41" s="5">
        <f>RawData!G41</f>
        <v>1721.07</v>
      </c>
      <c r="K41" s="5" t="str">
        <f>RawData!H41</f>
        <v>East</v>
      </c>
      <c r="L41" s="5" t="str">
        <f t="shared" si="1"/>
        <v>Jan</v>
      </c>
    </row>
    <row r="42">
      <c r="A42" s="5" t="str">
        <f>RawData!A42</f>
        <v>ORD-5041</v>
      </c>
      <c r="B42" s="8">
        <f>RawData!B42</f>
        <v>46000</v>
      </c>
      <c r="C42" s="5" t="str">
        <f>RawData!C42</f>
        <v>C2280</v>
      </c>
      <c r="D42" s="5" t="str">
        <f>VLOOKUP(C42, Customers!A:B,2,FALSE)</f>
        <v/>
      </c>
      <c r="E42" s="5" t="str">
        <f>RawData!D42</f>
        <v>P1018</v>
      </c>
      <c r="F42" s="5" t="str">
        <f t="array" ref="F42">INDEX(Products!B:B, MATCH(E42, Products!A:A,0))</f>
        <v>Camera</v>
      </c>
      <c r="G42" s="5" t="str">
        <f t="array" ref="G42">XLOOKUP(E42, Products!A:A, Products!C:C)</f>
        <v>Electronics</v>
      </c>
      <c r="H42" s="5">
        <f>RawData!E42</f>
        <v>7</v>
      </c>
      <c r="I42" s="5">
        <f>RawData!F42</f>
        <v>131.34</v>
      </c>
      <c r="J42" s="5">
        <f>RawData!G42</f>
        <v>919.38</v>
      </c>
      <c r="K42" s="5" t="str">
        <f>RawData!H42</f>
        <v>West</v>
      </c>
      <c r="L42" s="5" t="str">
        <f t="shared" si="1"/>
        <v>Dec</v>
      </c>
    </row>
    <row r="43">
      <c r="A43" s="5" t="str">
        <f>RawData!A43</f>
        <v>ORD-5042</v>
      </c>
      <c r="B43" s="8">
        <f>RawData!B43</f>
        <v>45434</v>
      </c>
      <c r="C43" s="5" t="str">
        <f>RawData!C43</f>
        <v>C2190</v>
      </c>
      <c r="D43" s="5" t="str">
        <f>VLOOKUP(C43, Customers!A:B,2,FALSE)</f>
        <v/>
      </c>
      <c r="E43" s="5" t="str">
        <f>RawData!D43</f>
        <v>P1011</v>
      </c>
      <c r="F43" s="5" t="str">
        <f t="array" ref="F43">INDEX(Products!B:B, MATCH(E43, Products!A:A,0))</f>
        <v>Bottle</v>
      </c>
      <c r="G43" s="5" t="str">
        <f t="array" ref="G43">XLOOKUP(E43, Products!A:A, Products!C:C)</f>
        <v>Home</v>
      </c>
      <c r="H43" s="5">
        <f>RawData!E43</f>
        <v>3</v>
      </c>
      <c r="I43" s="5">
        <f>RawData!F43</f>
        <v>114.21</v>
      </c>
      <c r="J43" s="5">
        <f>RawData!G43</f>
        <v>342.63</v>
      </c>
      <c r="K43" s="5" t="str">
        <f>RawData!H43</f>
        <v>East</v>
      </c>
      <c r="L43" s="5" t="str">
        <f t="shared" si="1"/>
        <v>May</v>
      </c>
    </row>
    <row r="44">
      <c r="A44" s="5" t="str">
        <f>RawData!A44</f>
        <v>ORD-5043</v>
      </c>
      <c r="B44" s="8">
        <f>RawData!B44</f>
        <v>45563</v>
      </c>
      <c r="C44" s="5" t="str">
        <f>RawData!C44</f>
        <v>C2312</v>
      </c>
      <c r="D44" s="5" t="str">
        <f>VLOOKUP(C44, Customers!A:B,2,FALSE)</f>
        <v/>
      </c>
      <c r="E44" s="5" t="str">
        <f>RawData!D44</f>
        <v>P1039</v>
      </c>
      <c r="F44" s="5" t="str">
        <f t="array" ref="F44">INDEX(Products!B:B, MATCH(E44, Products!A:A,0))</f>
        <v>Printer</v>
      </c>
      <c r="G44" s="5" t="str">
        <f t="array" ref="G44">XLOOKUP(E44, Products!A:A, Products!C:C)</f>
        <v>Electronics</v>
      </c>
      <c r="H44" s="5">
        <f>RawData!E44</f>
        <v>6</v>
      </c>
      <c r="I44" s="5">
        <f>RawData!F44</f>
        <v>52.53</v>
      </c>
      <c r="J44" s="5">
        <f>RawData!G44</f>
        <v>315.18</v>
      </c>
      <c r="K44" s="5" t="str">
        <f>RawData!H44</f>
        <v>North</v>
      </c>
      <c r="L44" s="5" t="str">
        <f t="shared" si="1"/>
        <v>Sep</v>
      </c>
    </row>
    <row r="45">
      <c r="A45" s="5" t="str">
        <f>RawData!A45</f>
        <v>ORD-5044</v>
      </c>
      <c r="B45" s="8">
        <f>RawData!B45</f>
        <v>45710</v>
      </c>
      <c r="C45" s="5" t="str">
        <f>RawData!C45</f>
        <v>C2213</v>
      </c>
      <c r="D45" s="5" t="str">
        <f>VLOOKUP(C45, Customers!A:B,2,FALSE)</f>
        <v/>
      </c>
      <c r="E45" s="5" t="str">
        <f>RawData!D45</f>
        <v>P1050</v>
      </c>
      <c r="F45" s="5" t="str">
        <f t="array" ref="F45">INDEX(Products!B:B, MATCH(E45, Products!A:A,0))</f>
        <v>Monitor</v>
      </c>
      <c r="G45" s="5" t="str">
        <f t="array" ref="G45">XLOOKUP(E45, Products!A:A, Products!C:C)</f>
        <v>Electronics</v>
      </c>
      <c r="H45" s="5">
        <f>RawData!E45</f>
        <v>9</v>
      </c>
      <c r="I45" s="5">
        <f>RawData!F45</f>
        <v>161.48</v>
      </c>
      <c r="J45" s="5">
        <f>RawData!G45</f>
        <v>1453.32</v>
      </c>
      <c r="K45" s="5" t="str">
        <f>RawData!H45</f>
        <v>North</v>
      </c>
      <c r="L45" s="5" t="str">
        <f t="shared" si="1"/>
        <v>Feb</v>
      </c>
    </row>
    <row r="46">
      <c r="A46" s="5" t="str">
        <f>RawData!A46</f>
        <v>ORD-5045</v>
      </c>
      <c r="B46" s="8">
        <f>RawData!B46</f>
        <v>45004</v>
      </c>
      <c r="C46" s="5" t="str">
        <f>RawData!C46</f>
        <v>C2445</v>
      </c>
      <c r="D46" s="5" t="str">
        <f>VLOOKUP(C46, Customers!A:B,2,FALSE)</f>
        <v/>
      </c>
      <c r="E46" s="5" t="str">
        <f>RawData!D46</f>
        <v>P1029</v>
      </c>
      <c r="F46" s="5" t="str">
        <f t="array" ref="F46">INDEX(Products!B:B, MATCH(E46, Products!A:A,0))</f>
        <v>Table</v>
      </c>
      <c r="G46" s="5" t="str">
        <f t="array" ref="G46">XLOOKUP(E46, Products!A:A, Products!C:C)</f>
        <v>Furniture</v>
      </c>
      <c r="H46" s="5">
        <f>RawData!E46</f>
        <v>9</v>
      </c>
      <c r="I46" s="5">
        <f>RawData!F46</f>
        <v>104.81</v>
      </c>
      <c r="J46" s="5">
        <f>RawData!G46</f>
        <v>943.29</v>
      </c>
      <c r="K46" s="5" t="str">
        <f>RawData!H46</f>
        <v>North</v>
      </c>
      <c r="L46" s="5" t="str">
        <f t="shared" si="1"/>
        <v>Mar</v>
      </c>
    </row>
    <row r="47">
      <c r="A47" s="5" t="str">
        <f>RawData!A47</f>
        <v>ORD-5046</v>
      </c>
      <c r="B47" s="8">
        <f>RawData!B47</f>
        <v>44567</v>
      </c>
      <c r="C47" s="5" t="str">
        <f>RawData!C47</f>
        <v>C2472</v>
      </c>
      <c r="D47" s="5" t="str">
        <f>VLOOKUP(C47, Customers!A:B,2,FALSE)</f>
        <v/>
      </c>
      <c r="E47" s="5" t="str">
        <f>RawData!D47</f>
        <v>P1007</v>
      </c>
      <c r="F47" s="5" t="str">
        <f t="array" ref="F47">INDEX(Products!B:B, MATCH(E47, Products!A:A,0))</f>
        <v>Belt</v>
      </c>
      <c r="G47" s="5" t="str">
        <f t="array" ref="G47">XLOOKUP(E47, Products!A:A, Products!C:C)</f>
        <v>Accessories</v>
      </c>
      <c r="H47" s="5">
        <f>RawData!E47</f>
        <v>5</v>
      </c>
      <c r="I47" s="5">
        <f>RawData!F47</f>
        <v>37.05</v>
      </c>
      <c r="J47" s="5">
        <f>RawData!G47</f>
        <v>185.25</v>
      </c>
      <c r="K47" s="5" t="str">
        <f>RawData!H47</f>
        <v>North</v>
      </c>
      <c r="L47" s="5" t="str">
        <f t="shared" si="1"/>
        <v>Jan</v>
      </c>
    </row>
    <row r="48">
      <c r="A48" s="5" t="str">
        <f>RawData!A48</f>
        <v>ORD-5047</v>
      </c>
      <c r="B48" s="8">
        <f>RawData!B48</f>
        <v>44670</v>
      </c>
      <c r="C48" s="5" t="str">
        <f>RawData!C48</f>
        <v>C2439</v>
      </c>
      <c r="D48" s="5" t="str">
        <f>VLOOKUP(C48, Customers!A:B,2,FALSE)</f>
        <v/>
      </c>
      <c r="E48" s="5" t="str">
        <f>RawData!D48</f>
        <v>P1006</v>
      </c>
      <c r="F48" s="5" t="str">
        <f t="array" ref="F48">INDEX(Products!B:B, MATCH(E48, Products!A:A,0))</f>
        <v>Keyboard</v>
      </c>
      <c r="G48" s="5" t="str">
        <f t="array" ref="G48">XLOOKUP(E48, Products!A:A, Products!C:C)</f>
        <v>Electronics</v>
      </c>
      <c r="H48" s="5">
        <f>RawData!E48</f>
        <v>6</v>
      </c>
      <c r="I48" s="5">
        <f>RawData!F48</f>
        <v>143.58</v>
      </c>
      <c r="J48" s="5">
        <f>RawData!G48</f>
        <v>861.48</v>
      </c>
      <c r="K48" s="5" t="str">
        <f>RawData!H48</f>
        <v>West</v>
      </c>
      <c r="L48" s="5" t="str">
        <f t="shared" si="1"/>
        <v>Apr</v>
      </c>
    </row>
    <row r="49">
      <c r="A49" s="5" t="str">
        <f>RawData!A49</f>
        <v>ORD-5048</v>
      </c>
      <c r="B49" s="8">
        <f>RawData!B49</f>
        <v>45346</v>
      </c>
      <c r="C49" s="5" t="str">
        <f>RawData!C49</f>
        <v>C2294</v>
      </c>
      <c r="D49" s="5" t="str">
        <f>VLOOKUP(C49, Customers!A:B,2,FALSE)</f>
        <v/>
      </c>
      <c r="E49" s="5" t="str">
        <f>RawData!D49</f>
        <v>P1008</v>
      </c>
      <c r="F49" s="5" t="str">
        <f t="array" ref="F49">INDEX(Products!B:B, MATCH(E49, Products!A:A,0))</f>
        <v>Watch</v>
      </c>
      <c r="G49" s="5" t="str">
        <f t="array" ref="G49">XLOOKUP(E49, Products!A:A, Products!C:C)</f>
        <v>Accessories</v>
      </c>
      <c r="H49" s="5">
        <f>RawData!E49</f>
        <v>6</v>
      </c>
      <c r="I49" s="5">
        <f>RawData!F49</f>
        <v>190.65</v>
      </c>
      <c r="J49" s="5">
        <f>RawData!G49</f>
        <v>1143.9</v>
      </c>
      <c r="K49" s="5" t="str">
        <f>RawData!H49</f>
        <v>East</v>
      </c>
      <c r="L49" s="5" t="str">
        <f t="shared" si="1"/>
        <v>Feb</v>
      </c>
    </row>
    <row r="50">
      <c r="A50" s="5" t="str">
        <f>RawData!A50</f>
        <v>ORD-5049</v>
      </c>
      <c r="B50" s="8">
        <f>RawData!B50</f>
        <v>44940</v>
      </c>
      <c r="C50" s="5" t="str">
        <f>RawData!C50</f>
        <v>C2069</v>
      </c>
      <c r="D50" s="5" t="str">
        <f>VLOOKUP(C50, Customers!A:B,2,FALSE)</f>
        <v/>
      </c>
      <c r="E50" s="5" t="str">
        <f>RawData!D50</f>
        <v>P1019</v>
      </c>
      <c r="F50" s="5" t="str">
        <f t="array" ref="F50">INDEX(Products!B:B, MATCH(E50, Products!A:A,0))</f>
        <v>Mouse</v>
      </c>
      <c r="G50" s="5" t="str">
        <f t="array" ref="G50">XLOOKUP(E50, Products!A:A, Products!C:C)</f>
        <v>Electronics</v>
      </c>
      <c r="H50" s="5">
        <f>RawData!E50</f>
        <v>10</v>
      </c>
      <c r="I50" s="5">
        <f>RawData!F50</f>
        <v>193.29</v>
      </c>
      <c r="J50" s="5">
        <f>RawData!G50</f>
        <v>1932.9</v>
      </c>
      <c r="K50" s="5" t="str">
        <f>RawData!H50</f>
        <v>South</v>
      </c>
      <c r="L50" s="5" t="str">
        <f t="shared" si="1"/>
        <v>Jan</v>
      </c>
    </row>
    <row r="51">
      <c r="A51" s="5" t="str">
        <f>RawData!A51</f>
        <v>ORD-5050</v>
      </c>
      <c r="B51" s="8">
        <f>RawData!B51</f>
        <v>45018</v>
      </c>
      <c r="C51" s="5" t="str">
        <f>RawData!C51</f>
        <v>C2023</v>
      </c>
      <c r="D51" s="5" t="str">
        <f>VLOOKUP(C51, Customers!A:B,2,FALSE)</f>
        <v/>
      </c>
      <c r="E51" s="5" t="str">
        <f>RawData!D51</f>
        <v>P1015</v>
      </c>
      <c r="F51" s="5" t="str">
        <f t="array" ref="F51">INDEX(Products!B:B, MATCH(E51, Products!A:A,0))</f>
        <v>Chair</v>
      </c>
      <c r="G51" s="5" t="str">
        <f t="array" ref="G51">XLOOKUP(E51, Products!A:A, Products!C:C)</f>
        <v>Furniture</v>
      </c>
      <c r="H51" s="5">
        <f>RawData!E51</f>
        <v>1</v>
      </c>
      <c r="I51" s="5">
        <f>RawData!F51</f>
        <v>144.86</v>
      </c>
      <c r="J51" s="5">
        <f>RawData!G51</f>
        <v>144.86</v>
      </c>
      <c r="K51" s="5" t="str">
        <f>RawData!H51</f>
        <v>West</v>
      </c>
      <c r="L51" s="5" t="str">
        <f t="shared" si="1"/>
        <v>Apr</v>
      </c>
    </row>
    <row r="52">
      <c r="A52" s="5" t="str">
        <f>RawData!A52</f>
        <v>ORD-5051</v>
      </c>
      <c r="B52" s="8">
        <f>RawData!B52</f>
        <v>45222</v>
      </c>
      <c r="C52" s="5" t="str">
        <f>RawData!C52</f>
        <v>C2330</v>
      </c>
      <c r="D52" s="5" t="str">
        <f>VLOOKUP(C52, Customers!A:B,2,FALSE)</f>
        <v/>
      </c>
      <c r="E52" s="5" t="str">
        <f>RawData!D52</f>
        <v>P1015</v>
      </c>
      <c r="G52" s="5" t="str">
        <f t="array" ref="G52">XLOOKUP(E52, Products!A:A, Products!C:C)</f>
        <v>Furniture</v>
      </c>
      <c r="H52" s="5">
        <f>RawData!E52</f>
        <v>7</v>
      </c>
      <c r="I52" s="5">
        <f>RawData!F52</f>
        <v>144.86</v>
      </c>
      <c r="J52" s="5">
        <f>RawData!G52</f>
        <v>1014.02</v>
      </c>
      <c r="K52" s="5" t="str">
        <f>RawData!H52</f>
        <v>North</v>
      </c>
      <c r="L52" s="5" t="str">
        <f t="shared" si="1"/>
        <v>Oct</v>
      </c>
    </row>
    <row r="53">
      <c r="A53" s="5" t="str">
        <f>RawData!A53</f>
        <v>ORD-5052</v>
      </c>
      <c r="B53" s="8">
        <f>RawData!B53</f>
        <v>45811</v>
      </c>
      <c r="C53" s="5" t="str">
        <f>RawData!C53</f>
        <v>C2052</v>
      </c>
      <c r="D53" s="5" t="str">
        <f>VLOOKUP(C53, Customers!A:B,2,FALSE)</f>
        <v/>
      </c>
      <c r="E53" s="5" t="str">
        <f>RawData!D53</f>
        <v>P1015</v>
      </c>
      <c r="G53" s="5" t="str">
        <f t="array" ref="G53">XLOOKUP(E53, Products!A:A, Products!C:C)</f>
        <v>Furniture</v>
      </c>
      <c r="H53" s="5">
        <f>RawData!E53</f>
        <v>4</v>
      </c>
      <c r="I53" s="5">
        <f>RawData!F53</f>
        <v>144.86</v>
      </c>
      <c r="J53" s="5">
        <f>RawData!G53</f>
        <v>579.44</v>
      </c>
      <c r="K53" s="5" t="str">
        <f>RawData!H53</f>
        <v>East</v>
      </c>
      <c r="L53" s="5" t="str">
        <f t="shared" si="1"/>
        <v>Jun</v>
      </c>
    </row>
    <row r="54">
      <c r="A54" s="5" t="str">
        <f>RawData!A54</f>
        <v>ORD-5053</v>
      </c>
      <c r="B54" s="8">
        <f>RawData!B54</f>
        <v>45531</v>
      </c>
      <c r="C54" s="5" t="str">
        <f>RawData!C54</f>
        <v>C2058</v>
      </c>
      <c r="D54" s="5" t="str">
        <f>VLOOKUP(C54, Customers!A:B,2,FALSE)</f>
        <v/>
      </c>
      <c r="E54" s="5" t="str">
        <f>RawData!D54</f>
        <v>P1031</v>
      </c>
      <c r="G54" s="5" t="str">
        <f t="array" ref="G54">XLOOKUP(E54, Products!A:A, Products!C:C)</f>
        <v>Furniture</v>
      </c>
      <c r="H54" s="5">
        <f>RawData!E54</f>
        <v>8</v>
      </c>
      <c r="I54" s="5">
        <f>RawData!F54</f>
        <v>44.18</v>
      </c>
      <c r="J54" s="5">
        <f>RawData!G54</f>
        <v>353.44</v>
      </c>
      <c r="K54" s="5" t="str">
        <f>RawData!H54</f>
        <v>South</v>
      </c>
      <c r="L54" s="5" t="str">
        <f t="shared" si="1"/>
        <v>Aug</v>
      </c>
    </row>
    <row r="55">
      <c r="A55" s="5" t="str">
        <f>RawData!A55</f>
        <v>ORD-5054</v>
      </c>
      <c r="B55" s="8">
        <f>RawData!B55</f>
        <v>45879</v>
      </c>
      <c r="C55" s="5" t="str">
        <f>RawData!C55</f>
        <v>C2367</v>
      </c>
      <c r="D55" s="5" t="str">
        <f>VLOOKUP(C55, Customers!A:B,2,FALSE)</f>
        <v/>
      </c>
      <c r="E55" s="5" t="str">
        <f>RawData!D55</f>
        <v>P1019</v>
      </c>
      <c r="G55" s="5" t="str">
        <f t="array" ref="G55">XLOOKUP(E55, Products!A:A, Products!C:C)</f>
        <v>Electronics</v>
      </c>
      <c r="H55" s="5">
        <f>RawData!E55</f>
        <v>6</v>
      </c>
      <c r="I55" s="5">
        <f>RawData!F55</f>
        <v>193.29</v>
      </c>
      <c r="J55" s="5">
        <f>RawData!G55</f>
        <v>1159.74</v>
      </c>
      <c r="K55" s="5" t="str">
        <f>RawData!H55</f>
        <v>West</v>
      </c>
      <c r="L55" s="5" t="str">
        <f t="shared" si="1"/>
        <v>Aug</v>
      </c>
    </row>
    <row r="56">
      <c r="A56" s="5" t="str">
        <f>RawData!A56</f>
        <v>ORD-5055</v>
      </c>
      <c r="B56" s="8">
        <f>RawData!B56</f>
        <v>44583</v>
      </c>
      <c r="C56" s="5" t="str">
        <f>RawData!C56</f>
        <v>C2108</v>
      </c>
      <c r="D56" s="5" t="str">
        <f>VLOOKUP(C56, Customers!A:B,2,FALSE)</f>
        <v/>
      </c>
      <c r="E56" s="5" t="str">
        <f>RawData!D56</f>
        <v>P1008</v>
      </c>
      <c r="G56" s="5" t="str">
        <f t="array" ref="G56">XLOOKUP(E56, Products!A:A, Products!C:C)</f>
        <v>Accessories</v>
      </c>
      <c r="H56" s="5">
        <f>RawData!E56</f>
        <v>1</v>
      </c>
      <c r="I56" s="5">
        <f>RawData!F56</f>
        <v>190.65</v>
      </c>
      <c r="J56" s="5">
        <f>RawData!G56</f>
        <v>190.65</v>
      </c>
      <c r="K56" s="5" t="str">
        <f>RawData!H56</f>
        <v>West</v>
      </c>
      <c r="L56" s="5" t="str">
        <f t="shared" si="1"/>
        <v>Jan</v>
      </c>
    </row>
    <row r="57">
      <c r="A57" s="5" t="str">
        <f>RawData!A57</f>
        <v>ORD-5056</v>
      </c>
      <c r="B57" s="8">
        <f>RawData!B57</f>
        <v>45569</v>
      </c>
      <c r="C57" s="5" t="str">
        <f>RawData!C57</f>
        <v>C2340</v>
      </c>
      <c r="D57" s="5" t="str">
        <f>VLOOKUP(C57, Customers!A:B,2,FALSE)</f>
        <v/>
      </c>
      <c r="E57" s="5" t="str">
        <f>RawData!D57</f>
        <v>P1002</v>
      </c>
      <c r="G57" s="5" t="str">
        <f t="array" ref="G57">XLOOKUP(E57, Products!A:A, Products!C:C)</f>
        <v>Furniture</v>
      </c>
      <c r="H57" s="5">
        <f>RawData!E57</f>
        <v>1</v>
      </c>
      <c r="I57" s="5">
        <f>RawData!F57</f>
        <v>109.31</v>
      </c>
      <c r="J57" s="5">
        <f>RawData!G57</f>
        <v>109.31</v>
      </c>
      <c r="K57" s="5" t="str">
        <f>RawData!H57</f>
        <v>East</v>
      </c>
      <c r="L57" s="5" t="str">
        <f t="shared" si="1"/>
        <v>Oct</v>
      </c>
    </row>
    <row r="58">
      <c r="A58" s="5" t="str">
        <f>RawData!A58</f>
        <v>ORD-5057</v>
      </c>
      <c r="B58" s="8">
        <f>RawData!B58</f>
        <v>44828</v>
      </c>
      <c r="C58" s="5" t="str">
        <f>RawData!C58</f>
        <v>C2394</v>
      </c>
      <c r="D58" s="5" t="str">
        <f>VLOOKUP(C58, Customers!A:B,2,FALSE)</f>
        <v/>
      </c>
      <c r="E58" s="5" t="str">
        <f>RawData!D58</f>
        <v>P1046</v>
      </c>
      <c r="G58" s="5" t="str">
        <f t="array" ref="G58">XLOOKUP(E58, Products!A:A, Products!C:C)</f>
        <v>Electronics</v>
      </c>
      <c r="H58" s="5">
        <f>RawData!E58</f>
        <v>10</v>
      </c>
      <c r="I58" s="5">
        <f>RawData!F58</f>
        <v>83.01</v>
      </c>
      <c r="J58" s="5">
        <f>RawData!G58</f>
        <v>830.1</v>
      </c>
      <c r="K58" s="5" t="str">
        <f>RawData!H58</f>
        <v>West</v>
      </c>
      <c r="L58" s="5" t="str">
        <f t="shared" si="1"/>
        <v>Sep</v>
      </c>
    </row>
    <row r="59">
      <c r="A59" s="5" t="str">
        <f>RawData!A59</f>
        <v>ORD-5058</v>
      </c>
      <c r="B59" s="8">
        <f>RawData!B59</f>
        <v>45173</v>
      </c>
      <c r="C59" s="5" t="str">
        <f>RawData!C59</f>
        <v>C2065</v>
      </c>
      <c r="D59" s="5" t="str">
        <f>VLOOKUP(C59, Customers!A:B,2,FALSE)</f>
        <v/>
      </c>
      <c r="E59" s="5" t="str">
        <f>RawData!D59</f>
        <v>P1017</v>
      </c>
      <c r="G59" s="5" t="str">
        <f t="array" ref="G59">XLOOKUP(E59, Products!A:A, Products!C:C)</f>
        <v>Furniture</v>
      </c>
      <c r="H59" s="5">
        <f>RawData!E59</f>
        <v>1</v>
      </c>
      <c r="I59" s="5">
        <f>RawData!F59</f>
        <v>43.15</v>
      </c>
      <c r="J59" s="5">
        <f>RawData!G59</f>
        <v>43.15</v>
      </c>
      <c r="K59" s="5" t="str">
        <f>RawData!H59</f>
        <v>South</v>
      </c>
      <c r="L59" s="5" t="str">
        <f t="shared" si="1"/>
        <v>Sep</v>
      </c>
    </row>
    <row r="60">
      <c r="A60" s="5" t="str">
        <f>RawData!A60</f>
        <v>ORD-5059</v>
      </c>
      <c r="B60" s="8">
        <f>RawData!B60</f>
        <v>45957</v>
      </c>
      <c r="C60" s="5" t="str">
        <f>RawData!C60</f>
        <v>C2043</v>
      </c>
      <c r="D60" s="5" t="str">
        <f>VLOOKUP(C60, Customers!A:B,2,FALSE)</f>
        <v/>
      </c>
      <c r="E60" s="5" t="str">
        <f>RawData!D60</f>
        <v>P1025</v>
      </c>
      <c r="G60" s="5" t="str">
        <f t="array" ref="G60">XLOOKUP(E60, Products!A:A, Products!C:C)</f>
        <v>Electronics</v>
      </c>
      <c r="H60" s="5">
        <f>RawData!E60</f>
        <v>8</v>
      </c>
      <c r="I60" s="5">
        <f>RawData!F60</f>
        <v>65.45</v>
      </c>
      <c r="J60" s="5">
        <f>RawData!G60</f>
        <v>523.6</v>
      </c>
      <c r="K60" s="5" t="str">
        <f>RawData!H60</f>
        <v>East</v>
      </c>
      <c r="L60" s="5" t="str">
        <f t="shared" si="1"/>
        <v>Oct</v>
      </c>
    </row>
    <row r="61">
      <c r="A61" s="5" t="str">
        <f>RawData!A61</f>
        <v>ORD-5060</v>
      </c>
      <c r="B61" s="8">
        <f>RawData!B61</f>
        <v>45841</v>
      </c>
      <c r="C61" s="5" t="str">
        <f>RawData!C61</f>
        <v>C2393</v>
      </c>
      <c r="D61" s="5" t="str">
        <f>VLOOKUP(C61, Customers!A:B,2,FALSE)</f>
        <v/>
      </c>
      <c r="E61" s="5" t="str">
        <f>RawData!D61</f>
        <v>P1042</v>
      </c>
      <c r="G61" s="5" t="str">
        <f t="array" ref="G61">XLOOKUP(E61, Products!A:A, Products!C:C)</f>
        <v>Electronics</v>
      </c>
      <c r="H61" s="5">
        <f>RawData!E61</f>
        <v>7</v>
      </c>
      <c r="I61" s="5">
        <f>RawData!F61</f>
        <v>90.5</v>
      </c>
      <c r="J61" s="5">
        <f>RawData!G61</f>
        <v>633.5</v>
      </c>
      <c r="K61" s="5" t="str">
        <f>RawData!H61</f>
        <v>North</v>
      </c>
      <c r="L61" s="5" t="str">
        <f t="shared" si="1"/>
        <v>Jul</v>
      </c>
    </row>
    <row r="62">
      <c r="A62" s="5" t="str">
        <f>RawData!A62</f>
        <v>ORD-5061</v>
      </c>
      <c r="B62" s="8">
        <f>RawData!B62</f>
        <v>45332</v>
      </c>
      <c r="C62" s="5" t="str">
        <f>RawData!C62</f>
        <v>C2342</v>
      </c>
      <c r="D62" s="5" t="str">
        <f>VLOOKUP(C62, Customers!A:B,2,FALSE)</f>
        <v/>
      </c>
      <c r="E62" s="5" t="str">
        <f>RawData!D62</f>
        <v>P1020</v>
      </c>
      <c r="G62" s="5" t="str">
        <f t="array" ref="G62">XLOOKUP(E62, Products!A:A, Products!C:C)</f>
        <v>Furniture</v>
      </c>
      <c r="H62" s="5">
        <f>RawData!E62</f>
        <v>1</v>
      </c>
      <c r="I62" s="5">
        <f>RawData!F62</f>
        <v>94.59</v>
      </c>
      <c r="J62" s="5">
        <f>RawData!G62</f>
        <v>94.59</v>
      </c>
      <c r="K62" s="5" t="str">
        <f>RawData!H62</f>
        <v>West</v>
      </c>
      <c r="L62" s="5" t="str">
        <f t="shared" si="1"/>
        <v>Feb</v>
      </c>
    </row>
    <row r="63">
      <c r="A63" s="5" t="str">
        <f>RawData!A63</f>
        <v>ORD-5062</v>
      </c>
      <c r="B63" s="8">
        <f>RawData!B63</f>
        <v>45307</v>
      </c>
      <c r="C63" s="5" t="str">
        <f>RawData!C63</f>
        <v>C2077</v>
      </c>
      <c r="D63" s="5" t="str">
        <f>VLOOKUP(C63, Customers!A:B,2,FALSE)</f>
        <v/>
      </c>
      <c r="E63" s="5" t="str">
        <f>RawData!D63</f>
        <v>P1036</v>
      </c>
      <c r="G63" s="5" t="str">
        <f t="array" ref="G63">XLOOKUP(E63, Products!A:A, Products!C:C)</f>
        <v>Fashion</v>
      </c>
      <c r="H63" s="5">
        <f>RawData!E63</f>
        <v>9</v>
      </c>
      <c r="I63" s="5">
        <f>RawData!F63</f>
        <v>146.68</v>
      </c>
      <c r="J63" s="5">
        <f>RawData!G63</f>
        <v>1320.12</v>
      </c>
      <c r="K63" s="5" t="str">
        <f>RawData!H63</f>
        <v>East</v>
      </c>
      <c r="L63" s="5" t="str">
        <f t="shared" si="1"/>
        <v>Jan</v>
      </c>
    </row>
    <row r="64">
      <c r="A64" s="5" t="str">
        <f>RawData!A64</f>
        <v>ORD-5063</v>
      </c>
      <c r="B64" s="8">
        <f>RawData!B64</f>
        <v>45864</v>
      </c>
      <c r="C64" s="5" t="str">
        <f>RawData!C64</f>
        <v>C2013</v>
      </c>
      <c r="D64" s="5" t="str">
        <f>VLOOKUP(C64, Customers!A:B,2,FALSE)</f>
        <v/>
      </c>
      <c r="E64" s="5" t="str">
        <f>RawData!D64</f>
        <v>P1013</v>
      </c>
      <c r="G64" s="5" t="str">
        <f t="array" ref="G64">XLOOKUP(E64, Products!A:A, Products!C:C)</f>
        <v>Furniture</v>
      </c>
      <c r="H64" s="5">
        <f>RawData!E64</f>
        <v>9</v>
      </c>
      <c r="I64" s="5">
        <f>RawData!F64</f>
        <v>59.18</v>
      </c>
      <c r="J64" s="5">
        <f>RawData!G64</f>
        <v>532.62</v>
      </c>
      <c r="K64" s="5" t="str">
        <f>RawData!H64</f>
        <v>North</v>
      </c>
      <c r="L64" s="5" t="str">
        <f t="shared" si="1"/>
        <v>Jul</v>
      </c>
    </row>
    <row r="65">
      <c r="A65" s="5" t="str">
        <f>RawData!A65</f>
        <v>ORD-5064</v>
      </c>
      <c r="B65" s="8">
        <f>RawData!B65</f>
        <v>46036</v>
      </c>
      <c r="C65" s="5" t="str">
        <f>RawData!C65</f>
        <v>C2300</v>
      </c>
      <c r="D65" s="5" t="str">
        <f>VLOOKUP(C65, Customers!A:B,2,FALSE)</f>
        <v/>
      </c>
      <c r="E65" s="5" t="str">
        <f>RawData!D65</f>
        <v>P1044</v>
      </c>
      <c r="G65" s="5" t="str">
        <f t="array" ref="G65">XLOOKUP(E65, Products!A:A, Products!C:C)</f>
        <v>Fashion</v>
      </c>
      <c r="H65" s="5">
        <f>RawData!E65</f>
        <v>6</v>
      </c>
      <c r="I65" s="5">
        <f>RawData!F65</f>
        <v>138.68</v>
      </c>
      <c r="J65" s="5">
        <f>RawData!G65</f>
        <v>832.08</v>
      </c>
      <c r="K65" s="5" t="str">
        <f>RawData!H65</f>
        <v>West</v>
      </c>
      <c r="L65" s="5" t="str">
        <f t="shared" si="1"/>
        <v>Jan</v>
      </c>
    </row>
    <row r="66">
      <c r="A66" s="5" t="str">
        <f>RawData!A66</f>
        <v>ORD-5065</v>
      </c>
      <c r="B66" s="8">
        <f>RawData!B66</f>
        <v>45284</v>
      </c>
      <c r="C66" s="5" t="str">
        <f>RawData!C66</f>
        <v>C2128</v>
      </c>
      <c r="D66" s="5" t="str">
        <f>VLOOKUP(C66, Customers!A:B,2,FALSE)</f>
        <v/>
      </c>
      <c r="E66" s="5" t="str">
        <f>RawData!D66</f>
        <v>P1050</v>
      </c>
      <c r="G66" s="5" t="str">
        <f t="array" ref="G66">XLOOKUP(E66, Products!A:A, Products!C:C)</f>
        <v>Electronics</v>
      </c>
      <c r="H66" s="5">
        <f>RawData!E66</f>
        <v>4</v>
      </c>
      <c r="I66" s="5">
        <f>RawData!F66</f>
        <v>161.48</v>
      </c>
      <c r="J66" s="5">
        <f>RawData!G66</f>
        <v>645.92</v>
      </c>
      <c r="K66" s="5" t="str">
        <f>RawData!H66</f>
        <v>West</v>
      </c>
      <c r="L66" s="5" t="str">
        <f t="shared" si="1"/>
        <v>Dec</v>
      </c>
    </row>
    <row r="67">
      <c r="A67" s="5" t="str">
        <f>RawData!A67</f>
        <v>ORD-5066</v>
      </c>
      <c r="B67" s="8">
        <f>RawData!B67</f>
        <v>45310</v>
      </c>
      <c r="C67" s="5" t="str">
        <f>RawData!C67</f>
        <v>C2188</v>
      </c>
      <c r="D67" s="5" t="str">
        <f>VLOOKUP(C67, Customers!A:B,2,FALSE)</f>
        <v/>
      </c>
      <c r="E67" s="5" t="str">
        <f>RawData!D67</f>
        <v>P1043</v>
      </c>
      <c r="G67" s="5" t="str">
        <f t="array" ref="G67">XLOOKUP(E67, Products!A:A, Products!C:C)</f>
        <v>Fashion</v>
      </c>
      <c r="H67" s="5">
        <f>RawData!E67</f>
        <v>10</v>
      </c>
      <c r="I67" s="5">
        <f>RawData!F67</f>
        <v>183.75</v>
      </c>
      <c r="J67" s="5">
        <f>RawData!G67</f>
        <v>1837.5</v>
      </c>
      <c r="K67" s="5" t="str">
        <f>RawData!H67</f>
        <v>North</v>
      </c>
      <c r="L67" s="5" t="str">
        <f t="shared" si="1"/>
        <v>Jan</v>
      </c>
    </row>
    <row r="68">
      <c r="A68" s="5" t="str">
        <f>RawData!A68</f>
        <v>ORD-5067</v>
      </c>
      <c r="B68" s="8">
        <f>RawData!B68</f>
        <v>44902</v>
      </c>
      <c r="C68" s="5" t="str">
        <f>RawData!C68</f>
        <v>C2331</v>
      </c>
      <c r="D68" s="5" t="str">
        <f>VLOOKUP(C68, Customers!A:B,2,FALSE)</f>
        <v/>
      </c>
      <c r="E68" s="5" t="str">
        <f>RawData!D68</f>
        <v>P1036</v>
      </c>
      <c r="G68" s="5" t="str">
        <f t="array" ref="G68">XLOOKUP(E68, Products!A:A, Products!C:C)</f>
        <v>Fashion</v>
      </c>
      <c r="H68" s="5">
        <f>RawData!E68</f>
        <v>4</v>
      </c>
      <c r="I68" s="5">
        <f>RawData!F68</f>
        <v>146.68</v>
      </c>
      <c r="J68" s="5">
        <f>RawData!G68</f>
        <v>586.72</v>
      </c>
      <c r="K68" s="5" t="str">
        <f>RawData!H68</f>
        <v>North</v>
      </c>
      <c r="L68" s="5" t="str">
        <f t="shared" si="1"/>
        <v>Dec</v>
      </c>
    </row>
    <row r="69">
      <c r="A69" s="5" t="str">
        <f>RawData!A69</f>
        <v>ORD-5068</v>
      </c>
      <c r="B69" s="8">
        <f>RawData!B69</f>
        <v>45981</v>
      </c>
      <c r="C69" s="5" t="str">
        <f>RawData!C69</f>
        <v>C2018</v>
      </c>
      <c r="D69" s="5" t="str">
        <f>VLOOKUP(C69, Customers!A:B,2,FALSE)</f>
        <v/>
      </c>
      <c r="E69" s="5" t="str">
        <f>RawData!D69</f>
        <v>P1027</v>
      </c>
      <c r="G69" s="5" t="str">
        <f t="array" ref="G69">XLOOKUP(E69, Products!A:A, Products!C:C)</f>
        <v>Fashion</v>
      </c>
      <c r="H69" s="5">
        <f>RawData!E69</f>
        <v>9</v>
      </c>
      <c r="I69" s="5">
        <f>RawData!F69</f>
        <v>152.99</v>
      </c>
      <c r="J69" s="5">
        <f>RawData!G69</f>
        <v>1376.91</v>
      </c>
      <c r="K69" s="5" t="str">
        <f>RawData!H69</f>
        <v>North</v>
      </c>
      <c r="L69" s="5" t="str">
        <f t="shared" si="1"/>
        <v>Nov</v>
      </c>
    </row>
    <row r="70">
      <c r="A70" s="5" t="str">
        <f>RawData!A70</f>
        <v>ORD-5069</v>
      </c>
      <c r="B70" s="8">
        <f>RawData!B70</f>
        <v>45374</v>
      </c>
      <c r="C70" s="5" t="str">
        <f>RawData!C70</f>
        <v>C2434</v>
      </c>
      <c r="D70" s="5" t="str">
        <f>VLOOKUP(C70, Customers!A:B,2,FALSE)</f>
        <v/>
      </c>
      <c r="E70" s="5" t="str">
        <f>RawData!D70</f>
        <v>P1011</v>
      </c>
      <c r="G70" s="5" t="str">
        <f t="array" ref="G70">XLOOKUP(E70, Products!A:A, Products!C:C)</f>
        <v>Home</v>
      </c>
      <c r="H70" s="5">
        <f>RawData!E70</f>
        <v>7</v>
      </c>
      <c r="I70" s="5">
        <f>RawData!F70</f>
        <v>114.21</v>
      </c>
      <c r="J70" s="5">
        <f>RawData!G70</f>
        <v>799.47</v>
      </c>
      <c r="K70" s="5" t="str">
        <f>RawData!H70</f>
        <v>East</v>
      </c>
      <c r="L70" s="5" t="str">
        <f t="shared" si="1"/>
        <v>Mar</v>
      </c>
    </row>
    <row r="71">
      <c r="A71" s="5" t="str">
        <f>RawData!A71</f>
        <v>ORD-5070</v>
      </c>
      <c r="B71" s="8">
        <f>RawData!B71</f>
        <v>45561</v>
      </c>
      <c r="C71" s="5" t="str">
        <f>RawData!C71</f>
        <v>C2316</v>
      </c>
      <c r="D71" s="5" t="str">
        <f>VLOOKUP(C71, Customers!A:B,2,FALSE)</f>
        <v/>
      </c>
      <c r="E71" s="5" t="str">
        <f>RawData!D71</f>
        <v>P1030</v>
      </c>
      <c r="G71" s="5" t="str">
        <f t="array" ref="G71">XLOOKUP(E71, Products!A:A, Products!C:C)</f>
        <v>Electronics</v>
      </c>
      <c r="H71" s="5">
        <f>RawData!E71</f>
        <v>6</v>
      </c>
      <c r="I71" s="5">
        <f>RawData!F71</f>
        <v>100.65</v>
      </c>
      <c r="J71" s="5">
        <f>RawData!G71</f>
        <v>603.9</v>
      </c>
      <c r="K71" s="5" t="str">
        <f>RawData!H71</f>
        <v>North</v>
      </c>
      <c r="L71" s="5" t="str">
        <f t="shared" si="1"/>
        <v>Sep</v>
      </c>
    </row>
    <row r="72">
      <c r="A72" s="5" t="str">
        <f>RawData!A72</f>
        <v>ORD-5071</v>
      </c>
      <c r="B72" s="8">
        <f>RawData!B72</f>
        <v>44880</v>
      </c>
      <c r="C72" s="5" t="str">
        <f>RawData!C72</f>
        <v>C2131</v>
      </c>
      <c r="D72" s="5" t="str">
        <f>VLOOKUP(C72, Customers!A:B,2,FALSE)</f>
        <v/>
      </c>
      <c r="E72" s="5" t="str">
        <f>RawData!D72</f>
        <v>P1023</v>
      </c>
      <c r="G72" s="5" t="str">
        <f t="array" ref="G72">XLOOKUP(E72, Products!A:A, Products!C:C)</f>
        <v>Fashion</v>
      </c>
      <c r="H72" s="5">
        <f>RawData!E72</f>
        <v>5</v>
      </c>
      <c r="I72" s="5">
        <f>RawData!F72</f>
        <v>70.71</v>
      </c>
      <c r="J72" s="5">
        <f>RawData!G72</f>
        <v>353.55</v>
      </c>
      <c r="K72" s="5" t="str">
        <f>RawData!H72</f>
        <v>South</v>
      </c>
      <c r="L72" s="5" t="str">
        <f t="shared" si="1"/>
        <v>Nov</v>
      </c>
    </row>
    <row r="73">
      <c r="A73" s="5" t="str">
        <f>RawData!A73</f>
        <v>ORD-5072</v>
      </c>
      <c r="B73" s="8">
        <f>RawData!B73</f>
        <v>45979</v>
      </c>
      <c r="C73" s="5" t="str">
        <f>RawData!C73</f>
        <v>C2087</v>
      </c>
      <c r="D73" s="5" t="str">
        <f>VLOOKUP(C73, Customers!A:B,2,FALSE)</f>
        <v>Alexander Scott</v>
      </c>
      <c r="E73" s="5" t="str">
        <f>RawData!D73</f>
        <v>P1002</v>
      </c>
      <c r="G73" s="5" t="str">
        <f t="array" ref="G73">XLOOKUP(E73, Products!A:A, Products!C:C)</f>
        <v>Furniture</v>
      </c>
      <c r="H73" s="5">
        <f>RawData!E73</f>
        <v>1</v>
      </c>
      <c r="I73" s="5">
        <f>RawData!F73</f>
        <v>109.31</v>
      </c>
      <c r="J73" s="5">
        <f>RawData!G73</f>
        <v>109.31</v>
      </c>
      <c r="K73" s="5" t="str">
        <f>RawData!H73</f>
        <v>West</v>
      </c>
      <c r="L73" s="5" t="str">
        <f t="shared" si="1"/>
        <v>Nov</v>
      </c>
    </row>
    <row r="74">
      <c r="A74" s="5" t="str">
        <f>RawData!A74</f>
        <v>ORD-5073</v>
      </c>
      <c r="B74" s="8">
        <f>RawData!B74</f>
        <v>45101</v>
      </c>
      <c r="C74" s="5" t="str">
        <f>RawData!C74</f>
        <v>C2209</v>
      </c>
      <c r="D74" s="5" t="str">
        <f>VLOOKUP(C74, Customers!A:B,2,FALSE)</f>
        <v/>
      </c>
      <c r="E74" s="5" t="str">
        <f>RawData!D74</f>
        <v>P1015</v>
      </c>
      <c r="G74" s="5" t="str">
        <f t="array" ref="G74">XLOOKUP(E74, Products!A:A, Products!C:C)</f>
        <v>Furniture</v>
      </c>
      <c r="H74" s="5">
        <f>RawData!E74</f>
        <v>3</v>
      </c>
      <c r="I74" s="5">
        <f>RawData!F74</f>
        <v>144.86</v>
      </c>
      <c r="J74" s="5">
        <f>RawData!G74</f>
        <v>434.58</v>
      </c>
      <c r="K74" s="5" t="str">
        <f>RawData!H74</f>
        <v>East</v>
      </c>
      <c r="L74" s="5" t="str">
        <f t="shared" si="1"/>
        <v>Jun</v>
      </c>
    </row>
    <row r="75">
      <c r="A75" s="5" t="str">
        <f>RawData!A75</f>
        <v>ORD-5074</v>
      </c>
      <c r="B75" s="8">
        <f>RawData!B75</f>
        <v>45880</v>
      </c>
      <c r="C75" s="5" t="str">
        <f>RawData!C75</f>
        <v>C2162</v>
      </c>
      <c r="D75" s="5" t="str">
        <f>VLOOKUP(C75, Customers!A:B,2,FALSE)</f>
        <v/>
      </c>
      <c r="E75" s="5" t="str">
        <f>RawData!D75</f>
        <v>P1050</v>
      </c>
      <c r="G75" s="5" t="str">
        <f t="array" ref="G75">XLOOKUP(E75, Products!A:A, Products!C:C)</f>
        <v>Electronics</v>
      </c>
      <c r="H75" s="5">
        <f>RawData!E75</f>
        <v>5</v>
      </c>
      <c r="I75" s="5">
        <f>RawData!F75</f>
        <v>161.48</v>
      </c>
      <c r="J75" s="5">
        <f>RawData!G75</f>
        <v>807.4</v>
      </c>
      <c r="K75" s="5" t="str">
        <f>RawData!H75</f>
        <v>North</v>
      </c>
      <c r="L75" s="5" t="str">
        <f t="shared" si="1"/>
        <v>Aug</v>
      </c>
    </row>
    <row r="76">
      <c r="A76" s="5" t="str">
        <f>RawData!A76</f>
        <v>ORD-5075</v>
      </c>
      <c r="B76" s="8">
        <f>RawData!B76</f>
        <v>45076</v>
      </c>
      <c r="C76" s="5" t="str">
        <f>RawData!C76</f>
        <v>C2447</v>
      </c>
      <c r="D76" s="5" t="str">
        <f>VLOOKUP(C76, Customers!A:B,2,FALSE)</f>
        <v>Olivia Turner</v>
      </c>
      <c r="E76" s="5" t="str">
        <f>RawData!D76</f>
        <v>P1019</v>
      </c>
      <c r="G76" s="5" t="str">
        <f t="array" ref="G76">XLOOKUP(E76, Products!A:A, Products!C:C)</f>
        <v>Electronics</v>
      </c>
      <c r="H76" s="5">
        <f>RawData!E76</f>
        <v>5</v>
      </c>
      <c r="I76" s="5">
        <f>RawData!F76</f>
        <v>193.29</v>
      </c>
      <c r="J76" s="5">
        <f>RawData!G76</f>
        <v>966.45</v>
      </c>
      <c r="K76" s="5" t="str">
        <f>RawData!H76</f>
        <v>South</v>
      </c>
      <c r="L76" s="5" t="str">
        <f t="shared" si="1"/>
        <v>May</v>
      </c>
    </row>
    <row r="77">
      <c r="A77" s="5" t="str">
        <f>RawData!A77</f>
        <v>ORD-5076</v>
      </c>
      <c r="B77" s="8">
        <f>RawData!B77</f>
        <v>45181</v>
      </c>
      <c r="C77" s="5" t="str">
        <f>RawData!C77</f>
        <v>C2103</v>
      </c>
      <c r="D77" s="5" t="str">
        <f>VLOOKUP(C77, Customers!A:B,2,FALSE)</f>
        <v/>
      </c>
      <c r="E77" s="5" t="str">
        <f>RawData!D77</f>
        <v>P1014</v>
      </c>
      <c r="G77" s="5" t="str">
        <f t="array" ref="G77">XLOOKUP(E77, Products!A:A, Products!C:C)</f>
        <v>Electronics</v>
      </c>
      <c r="H77" s="5">
        <f>RawData!E77</f>
        <v>1</v>
      </c>
      <c r="I77" s="5">
        <f>RawData!F77</f>
        <v>54.76</v>
      </c>
      <c r="J77" s="5">
        <f>RawData!G77</f>
        <v>54.76</v>
      </c>
      <c r="K77" s="5" t="str">
        <f>RawData!H77</f>
        <v>South</v>
      </c>
      <c r="L77" s="5" t="str">
        <f t="shared" si="1"/>
        <v>Sep</v>
      </c>
    </row>
    <row r="78">
      <c r="A78" s="5" t="str">
        <f>RawData!A78</f>
        <v>ORD-5077</v>
      </c>
      <c r="B78" s="8">
        <f>RawData!B78</f>
        <v>44758</v>
      </c>
      <c r="C78" s="5" t="str">
        <f>RawData!C78</f>
        <v>C2278</v>
      </c>
      <c r="D78" s="5" t="str">
        <f>VLOOKUP(C78, Customers!A:B,2,FALSE)</f>
        <v/>
      </c>
      <c r="E78" s="5" t="str">
        <f>RawData!D78</f>
        <v>P1045</v>
      </c>
      <c r="G78" s="5" t="str">
        <f t="array" ref="G78">XLOOKUP(E78, Products!A:A, Products!C:C)</f>
        <v>Accessories</v>
      </c>
      <c r="H78" s="5">
        <f>RawData!E78</f>
        <v>6</v>
      </c>
      <c r="I78" s="5">
        <f>RawData!F78</f>
        <v>159.7</v>
      </c>
      <c r="J78" s="5">
        <f>RawData!G78</f>
        <v>958.2</v>
      </c>
      <c r="K78" s="5" t="str">
        <f>RawData!H78</f>
        <v>South</v>
      </c>
      <c r="L78" s="5" t="str">
        <f t="shared" si="1"/>
        <v>Jul</v>
      </c>
    </row>
    <row r="79">
      <c r="A79" s="5" t="str">
        <f>RawData!A79</f>
        <v>ORD-5078</v>
      </c>
      <c r="B79" s="8">
        <f>RawData!B79</f>
        <v>44731</v>
      </c>
      <c r="C79" s="5" t="str">
        <f>RawData!C79</f>
        <v>C2323</v>
      </c>
      <c r="D79" s="5" t="str">
        <f>VLOOKUP(C79, Customers!A:B,2,FALSE)</f>
        <v/>
      </c>
      <c r="E79" s="5" t="str">
        <f>RawData!D79</f>
        <v>P1034</v>
      </c>
      <c r="G79" s="5" t="str">
        <f t="array" ref="G79">XLOOKUP(E79, Products!A:A, Products!C:C)</f>
        <v>Electronics</v>
      </c>
      <c r="H79" s="5">
        <f>RawData!E79</f>
        <v>9</v>
      </c>
      <c r="I79" s="5">
        <f>RawData!F79</f>
        <v>191.23</v>
      </c>
      <c r="J79" s="5">
        <f>RawData!G79</f>
        <v>1721.07</v>
      </c>
      <c r="K79" s="5" t="str">
        <f>RawData!H79</f>
        <v>North</v>
      </c>
      <c r="L79" s="5" t="str">
        <f t="shared" si="1"/>
        <v>Jun</v>
      </c>
    </row>
    <row r="80">
      <c r="A80" s="5" t="str">
        <f>RawData!A80</f>
        <v>ORD-5079</v>
      </c>
      <c r="B80" s="8">
        <f>RawData!B80</f>
        <v>45027</v>
      </c>
      <c r="C80" s="5" t="str">
        <f>RawData!C80</f>
        <v>C2405</v>
      </c>
      <c r="D80" s="5" t="str">
        <f>VLOOKUP(C80, Customers!A:B,2,FALSE)</f>
        <v/>
      </c>
      <c r="E80" s="5" t="str">
        <f>RawData!D80</f>
        <v>P1031</v>
      </c>
      <c r="G80" s="5" t="str">
        <f t="array" ref="G80">XLOOKUP(E80, Products!A:A, Products!C:C)</f>
        <v>Furniture</v>
      </c>
      <c r="H80" s="5">
        <f>RawData!E80</f>
        <v>8</v>
      </c>
      <c r="I80" s="5">
        <f>RawData!F80</f>
        <v>44.18</v>
      </c>
      <c r="J80" s="5">
        <f>RawData!G80</f>
        <v>353.44</v>
      </c>
      <c r="K80" s="5" t="str">
        <f>RawData!H80</f>
        <v>East</v>
      </c>
      <c r="L80" s="5" t="str">
        <f t="shared" si="1"/>
        <v>Apr</v>
      </c>
    </row>
    <row r="81">
      <c r="A81" s="5" t="str">
        <f>RawData!A81</f>
        <v>ORD-5080</v>
      </c>
      <c r="B81" s="8">
        <f>RawData!B81</f>
        <v>45786</v>
      </c>
      <c r="C81" s="5" t="str">
        <f>RawData!C81</f>
        <v>C2357</v>
      </c>
      <c r="D81" s="5" t="str">
        <f>VLOOKUP(C81, Customers!A:B,2,FALSE)</f>
        <v/>
      </c>
      <c r="E81" s="5" t="str">
        <f>RawData!D81</f>
        <v>P1026</v>
      </c>
      <c r="G81" s="5" t="str">
        <f t="array" ref="G81">XLOOKUP(E81, Products!A:A, Products!C:C)</f>
        <v>Home</v>
      </c>
      <c r="H81" s="5">
        <f>RawData!E81</f>
        <v>8</v>
      </c>
      <c r="I81" s="5">
        <f>RawData!F81</f>
        <v>128.23</v>
      </c>
      <c r="J81" s="5">
        <f>RawData!G81</f>
        <v>1025.84</v>
      </c>
      <c r="K81" s="5" t="str">
        <f>RawData!H81</f>
        <v>West</v>
      </c>
      <c r="L81" s="5" t="str">
        <f t="shared" si="1"/>
        <v>May</v>
      </c>
    </row>
    <row r="82">
      <c r="A82" s="5" t="str">
        <f>RawData!A82</f>
        <v>ORD-5081</v>
      </c>
      <c r="B82" s="8">
        <f>RawData!B82</f>
        <v>45184</v>
      </c>
      <c r="C82" s="5" t="str">
        <f>RawData!C82</f>
        <v>C2471</v>
      </c>
      <c r="D82" s="5" t="str">
        <f>VLOOKUP(C82, Customers!A:B,2,FALSE)</f>
        <v/>
      </c>
      <c r="E82" s="5" t="str">
        <f>RawData!D82</f>
        <v>P1045</v>
      </c>
      <c r="G82" s="5" t="str">
        <f t="array" ref="G82">XLOOKUP(E82, Products!A:A, Products!C:C)</f>
        <v>Accessories</v>
      </c>
      <c r="H82" s="5">
        <f>RawData!E82</f>
        <v>8</v>
      </c>
      <c r="I82" s="5">
        <f>RawData!F82</f>
        <v>159.7</v>
      </c>
      <c r="J82" s="5">
        <f>RawData!G82</f>
        <v>1277.6</v>
      </c>
      <c r="K82" s="5" t="str">
        <f>RawData!H82</f>
        <v>North</v>
      </c>
      <c r="L82" s="5" t="str">
        <f t="shared" si="1"/>
        <v>Sep</v>
      </c>
    </row>
    <row r="83">
      <c r="A83" s="5" t="str">
        <f>RawData!A83</f>
        <v>ORD-5082</v>
      </c>
      <c r="B83" s="8">
        <f>RawData!B83</f>
        <v>45751</v>
      </c>
      <c r="C83" s="5" t="str">
        <f>RawData!C83</f>
        <v>C2137</v>
      </c>
      <c r="D83" s="5" t="str">
        <f>VLOOKUP(C83, Customers!A:B,2,FALSE)</f>
        <v/>
      </c>
      <c r="E83" s="5" t="str">
        <f>RawData!D83</f>
        <v>P1040</v>
      </c>
      <c r="G83" s="5" t="str">
        <f t="array" ref="G83">XLOOKUP(E83, Products!A:A, Products!C:C)</f>
        <v>Furniture</v>
      </c>
      <c r="H83" s="5">
        <f>RawData!E83</f>
        <v>6</v>
      </c>
      <c r="I83" s="5">
        <f>RawData!F83</f>
        <v>161.81</v>
      </c>
      <c r="J83" s="5">
        <f>RawData!G83</f>
        <v>970.86</v>
      </c>
      <c r="K83" s="5" t="str">
        <f>RawData!H83</f>
        <v>East</v>
      </c>
      <c r="L83" s="5" t="str">
        <f t="shared" si="1"/>
        <v>Apr</v>
      </c>
    </row>
    <row r="84">
      <c r="A84" s="5" t="str">
        <f>RawData!A84</f>
        <v>ORD-5083</v>
      </c>
      <c r="B84" s="8">
        <f>RawData!B84</f>
        <v>44749</v>
      </c>
      <c r="C84" s="5" t="str">
        <f>RawData!C84</f>
        <v>C2354</v>
      </c>
      <c r="D84" s="5" t="str">
        <f>VLOOKUP(C84, Customers!A:B,2,FALSE)</f>
        <v/>
      </c>
      <c r="E84" s="5" t="str">
        <f>RawData!D84</f>
        <v>P1042</v>
      </c>
      <c r="G84" s="5" t="str">
        <f t="array" ref="G84">XLOOKUP(E84, Products!A:A, Products!C:C)</f>
        <v>Electronics</v>
      </c>
      <c r="H84" s="5">
        <f>RawData!E84</f>
        <v>9</v>
      </c>
      <c r="I84" s="5">
        <f>RawData!F84</f>
        <v>90.5</v>
      </c>
      <c r="J84" s="5">
        <f>RawData!G84</f>
        <v>814.5</v>
      </c>
      <c r="K84" s="5" t="str">
        <f>RawData!H84</f>
        <v>South</v>
      </c>
      <c r="L84" s="5" t="str">
        <f t="shared" si="1"/>
        <v>Jul</v>
      </c>
    </row>
    <row r="85">
      <c r="A85" s="5" t="str">
        <f>RawData!A85</f>
        <v>ORD-5084</v>
      </c>
      <c r="B85" s="8">
        <f>RawData!B85</f>
        <v>45978</v>
      </c>
      <c r="C85" s="5" t="str">
        <f>RawData!C85</f>
        <v>C2432</v>
      </c>
      <c r="D85" s="5" t="str">
        <f>VLOOKUP(C85, Customers!A:B,2,FALSE)</f>
        <v/>
      </c>
      <c r="E85" s="5" t="str">
        <f>RawData!D85</f>
        <v>P1049</v>
      </c>
      <c r="G85" s="5" t="str">
        <f t="array" ref="G85">XLOOKUP(E85, Products!A:A, Products!C:C)</f>
        <v>Accessories</v>
      </c>
      <c r="H85" s="5">
        <f>RawData!E85</f>
        <v>10</v>
      </c>
      <c r="I85" s="5">
        <f>RawData!F85</f>
        <v>62.86</v>
      </c>
      <c r="J85" s="5">
        <f>RawData!G85</f>
        <v>628.6</v>
      </c>
      <c r="K85" s="5" t="str">
        <f>RawData!H85</f>
        <v>East</v>
      </c>
      <c r="L85" s="5" t="str">
        <f t="shared" si="1"/>
        <v>Nov</v>
      </c>
    </row>
    <row r="86">
      <c r="A86" s="5" t="str">
        <f>RawData!A86</f>
        <v>ORD-5085</v>
      </c>
      <c r="B86" s="8">
        <f>RawData!B86</f>
        <v>44846</v>
      </c>
      <c r="C86" s="5" t="str">
        <f>RawData!C86</f>
        <v>C2149</v>
      </c>
      <c r="D86" s="5" t="str">
        <f>VLOOKUP(C86, Customers!A:B,2,FALSE)</f>
        <v/>
      </c>
      <c r="E86" s="5" t="str">
        <f>RawData!D86</f>
        <v>P1014</v>
      </c>
      <c r="G86" s="5" t="str">
        <f t="array" ref="G86">XLOOKUP(E86, Products!A:A, Products!C:C)</f>
        <v>Electronics</v>
      </c>
      <c r="H86" s="5">
        <f>RawData!E86</f>
        <v>9</v>
      </c>
      <c r="I86" s="5">
        <f>RawData!F86</f>
        <v>54.76</v>
      </c>
      <c r="J86" s="5">
        <f>RawData!G86</f>
        <v>492.84</v>
      </c>
      <c r="K86" s="5" t="str">
        <f>RawData!H86</f>
        <v>North</v>
      </c>
      <c r="L86" s="5" t="str">
        <f t="shared" si="1"/>
        <v>Oct</v>
      </c>
    </row>
    <row r="87">
      <c r="A87" s="5" t="str">
        <f>RawData!A87</f>
        <v>ORD-5086</v>
      </c>
      <c r="B87" s="8">
        <f>RawData!B87</f>
        <v>45872</v>
      </c>
      <c r="C87" s="5" t="str">
        <f>RawData!C87</f>
        <v>C2319</v>
      </c>
      <c r="D87" s="5" t="str">
        <f>VLOOKUP(C87, Customers!A:B,2,FALSE)</f>
        <v/>
      </c>
      <c r="E87" s="5" t="str">
        <f>RawData!D87</f>
        <v>P1029</v>
      </c>
      <c r="G87" s="5" t="str">
        <f t="array" ref="G87">XLOOKUP(E87, Products!A:A, Products!C:C)</f>
        <v>Furniture</v>
      </c>
      <c r="H87" s="5">
        <f>RawData!E87</f>
        <v>8</v>
      </c>
      <c r="I87" s="5">
        <f>RawData!F87</f>
        <v>104.81</v>
      </c>
      <c r="J87" s="5">
        <f>RawData!G87</f>
        <v>838.48</v>
      </c>
      <c r="K87" s="5" t="str">
        <f>RawData!H87</f>
        <v>West</v>
      </c>
      <c r="L87" s="5" t="str">
        <f t="shared" si="1"/>
        <v>Aug</v>
      </c>
    </row>
    <row r="88">
      <c r="A88" s="5" t="str">
        <f>RawData!A88</f>
        <v>ORD-5087</v>
      </c>
      <c r="B88" s="8">
        <f>RawData!B88</f>
        <v>45883</v>
      </c>
      <c r="C88" s="5" t="str">
        <f>RawData!C88</f>
        <v>C2411</v>
      </c>
      <c r="D88" s="5" t="str">
        <f>VLOOKUP(C88, Customers!A:B,2,FALSE)</f>
        <v/>
      </c>
      <c r="E88" s="5" t="str">
        <f>RawData!D88</f>
        <v>P1033</v>
      </c>
      <c r="G88" s="5" t="str">
        <f t="array" ref="G88">XLOOKUP(E88, Products!A:A, Products!C:C)</f>
        <v>Accessories</v>
      </c>
      <c r="H88" s="5">
        <f>RawData!E88</f>
        <v>5</v>
      </c>
      <c r="I88" s="5">
        <f>RawData!F88</f>
        <v>170.73</v>
      </c>
      <c r="J88" s="5">
        <f>RawData!G88</f>
        <v>853.65</v>
      </c>
      <c r="K88" s="5" t="str">
        <f>RawData!H88</f>
        <v>East</v>
      </c>
      <c r="L88" s="5" t="str">
        <f t="shared" si="1"/>
        <v>Aug</v>
      </c>
    </row>
    <row r="89">
      <c r="A89" s="5" t="str">
        <f>RawData!A89</f>
        <v>ORD-5088</v>
      </c>
      <c r="B89" s="8">
        <f>RawData!B89</f>
        <v>45244</v>
      </c>
      <c r="C89" s="5" t="str">
        <f>RawData!C89</f>
        <v>C2452</v>
      </c>
      <c r="D89" s="5" t="str">
        <f>VLOOKUP(C89, Customers!A:B,2,FALSE)</f>
        <v/>
      </c>
      <c r="E89" s="5" t="str">
        <f>RawData!D89</f>
        <v>P1025</v>
      </c>
      <c r="G89" s="5" t="str">
        <f t="array" ref="G89">XLOOKUP(E89, Products!A:A, Products!C:C)</f>
        <v>Electronics</v>
      </c>
      <c r="H89" s="5">
        <f>RawData!E89</f>
        <v>7</v>
      </c>
      <c r="I89" s="5">
        <f>RawData!F89</f>
        <v>65.45</v>
      </c>
      <c r="J89" s="5">
        <f>RawData!G89</f>
        <v>458.15</v>
      </c>
      <c r="K89" s="5" t="str">
        <f>RawData!H89</f>
        <v>East</v>
      </c>
      <c r="L89" s="5" t="str">
        <f t="shared" si="1"/>
        <v>Nov</v>
      </c>
    </row>
    <row r="90">
      <c r="A90" s="5" t="str">
        <f>RawData!A90</f>
        <v>ORD-5089</v>
      </c>
      <c r="B90" s="8">
        <f>RawData!B90</f>
        <v>45012</v>
      </c>
      <c r="C90" s="5" t="str">
        <f>RawData!C90</f>
        <v>C2094</v>
      </c>
      <c r="D90" s="5" t="str">
        <f>VLOOKUP(C90, Customers!A:B,2,FALSE)</f>
        <v/>
      </c>
      <c r="E90" s="5" t="str">
        <f>RawData!D90</f>
        <v>P1049</v>
      </c>
      <c r="G90" s="5" t="str">
        <f t="array" ref="G90">XLOOKUP(E90, Products!A:A, Products!C:C)</f>
        <v>Accessories</v>
      </c>
      <c r="H90" s="5">
        <f>RawData!E90</f>
        <v>4</v>
      </c>
      <c r="I90" s="5">
        <f>RawData!F90</f>
        <v>62.86</v>
      </c>
      <c r="J90" s="5">
        <f>RawData!G90</f>
        <v>251.44</v>
      </c>
      <c r="K90" s="5" t="str">
        <f>RawData!H90</f>
        <v>East</v>
      </c>
      <c r="L90" s="5" t="str">
        <f t="shared" si="1"/>
        <v>Mar</v>
      </c>
    </row>
    <row r="91">
      <c r="A91" s="5" t="str">
        <f>RawData!A91</f>
        <v>ORD-5090</v>
      </c>
      <c r="B91" s="8">
        <f>RawData!B91</f>
        <v>45482</v>
      </c>
      <c r="C91" s="5" t="str">
        <f>RawData!C91</f>
        <v>C2197</v>
      </c>
      <c r="D91" s="5" t="str">
        <f>VLOOKUP(C91, Customers!A:B,2,FALSE)</f>
        <v/>
      </c>
      <c r="E91" s="5" t="str">
        <f>RawData!D91</f>
        <v>P1050</v>
      </c>
      <c r="G91" s="5" t="str">
        <f t="array" ref="G91">XLOOKUP(E91, Products!A:A, Products!C:C)</f>
        <v>Electronics</v>
      </c>
      <c r="H91" s="5">
        <f>RawData!E91</f>
        <v>7</v>
      </c>
      <c r="I91" s="5">
        <f>RawData!F91</f>
        <v>161.48</v>
      </c>
      <c r="J91" s="5">
        <f>RawData!G91</f>
        <v>1130.36</v>
      </c>
      <c r="K91" s="5" t="str">
        <f>RawData!H91</f>
        <v>West</v>
      </c>
      <c r="L91" s="5" t="str">
        <f t="shared" si="1"/>
        <v>Jul</v>
      </c>
    </row>
    <row r="92">
      <c r="A92" s="5" t="str">
        <f>RawData!A92</f>
        <v>ORD-5091</v>
      </c>
      <c r="B92" s="8">
        <f>RawData!B92</f>
        <v>44980</v>
      </c>
      <c r="C92" s="5" t="str">
        <f>RawData!C92</f>
        <v>C2064</v>
      </c>
      <c r="D92" s="5" t="str">
        <f>VLOOKUP(C92, Customers!A:B,2,FALSE)</f>
        <v/>
      </c>
      <c r="E92" s="5" t="str">
        <f>RawData!D92</f>
        <v>P1031</v>
      </c>
      <c r="G92" s="5" t="str">
        <f t="array" ref="G92">XLOOKUP(E92, Products!A:A, Products!C:C)</f>
        <v>Furniture</v>
      </c>
      <c r="H92" s="5">
        <f>RawData!E92</f>
        <v>2</v>
      </c>
      <c r="I92" s="5">
        <f>RawData!F92</f>
        <v>44.18</v>
      </c>
      <c r="J92" s="5">
        <f>RawData!G92</f>
        <v>88.36</v>
      </c>
      <c r="K92" s="5" t="str">
        <f>RawData!H92</f>
        <v>West</v>
      </c>
      <c r="L92" s="5" t="str">
        <f t="shared" si="1"/>
        <v>Feb</v>
      </c>
    </row>
    <row r="93">
      <c r="A93" s="5" t="str">
        <f>RawData!A93</f>
        <v>ORD-5092</v>
      </c>
      <c r="B93" s="8">
        <f>RawData!B93</f>
        <v>45788</v>
      </c>
      <c r="C93" s="5" t="str">
        <f>RawData!C93</f>
        <v>C2225</v>
      </c>
      <c r="D93" s="5" t="str">
        <f>VLOOKUP(C93, Customers!A:B,2,FALSE)</f>
        <v/>
      </c>
      <c r="E93" s="5" t="str">
        <f>RawData!D93</f>
        <v>P1032</v>
      </c>
      <c r="G93" s="5" t="str">
        <f t="array" ref="G93">XLOOKUP(E93, Products!A:A, Products!C:C)</f>
        <v>Fashion</v>
      </c>
      <c r="H93" s="5">
        <f>RawData!E93</f>
        <v>6</v>
      </c>
      <c r="I93" s="5">
        <f>RawData!F93</f>
        <v>52.33</v>
      </c>
      <c r="J93" s="5">
        <f>RawData!G93</f>
        <v>313.98</v>
      </c>
      <c r="K93" s="5" t="str">
        <f>RawData!H93</f>
        <v>East</v>
      </c>
      <c r="L93" s="5" t="str">
        <f t="shared" si="1"/>
        <v>May</v>
      </c>
    </row>
    <row r="94">
      <c r="A94" s="5" t="str">
        <f>RawData!A94</f>
        <v>ORD-5093</v>
      </c>
      <c r="B94" s="8">
        <f>RawData!B94</f>
        <v>44894</v>
      </c>
      <c r="C94" s="5" t="str">
        <f>RawData!C94</f>
        <v>C2213</v>
      </c>
      <c r="D94" s="5" t="str">
        <f>VLOOKUP(C94, Customers!A:B,2,FALSE)</f>
        <v/>
      </c>
      <c r="E94" s="5" t="str">
        <f>RawData!D94</f>
        <v>P1039</v>
      </c>
      <c r="G94" s="5" t="str">
        <f t="array" ref="G94">XLOOKUP(E94, Products!A:A, Products!C:C)</f>
        <v>Electronics</v>
      </c>
      <c r="H94" s="5">
        <f>RawData!E94</f>
        <v>2</v>
      </c>
      <c r="I94" s="5">
        <f>RawData!F94</f>
        <v>52.53</v>
      </c>
      <c r="J94" s="5">
        <f>RawData!G94</f>
        <v>105.06</v>
      </c>
      <c r="K94" s="5" t="str">
        <f>RawData!H94</f>
        <v>West</v>
      </c>
      <c r="L94" s="5" t="str">
        <f t="shared" si="1"/>
        <v>Nov</v>
      </c>
    </row>
    <row r="95">
      <c r="A95" s="5" t="str">
        <f>RawData!A95</f>
        <v>ORD-5094</v>
      </c>
      <c r="B95" s="8">
        <f>RawData!B95</f>
        <v>44997</v>
      </c>
      <c r="C95" s="5" t="str">
        <f>RawData!C95</f>
        <v>C2027</v>
      </c>
      <c r="D95" s="5" t="str">
        <f>VLOOKUP(C95, Customers!A:B,2,FALSE)</f>
        <v/>
      </c>
      <c r="E95" s="5" t="str">
        <f>RawData!D95</f>
        <v>P1022</v>
      </c>
      <c r="G95" s="5" t="str">
        <f t="array" ref="G95">XLOOKUP(E95, Products!A:A, Products!C:C)</f>
        <v>Accessories</v>
      </c>
      <c r="H95" s="5">
        <f>RawData!E95</f>
        <v>10</v>
      </c>
      <c r="I95" s="5">
        <f>RawData!F95</f>
        <v>164.53</v>
      </c>
      <c r="J95" s="5">
        <f>RawData!G95</f>
        <v>1645.3</v>
      </c>
      <c r="K95" s="5" t="str">
        <f>RawData!H95</f>
        <v>West</v>
      </c>
      <c r="L95" s="5" t="str">
        <f t="shared" si="1"/>
        <v>Mar</v>
      </c>
    </row>
    <row r="96">
      <c r="A96" s="5" t="str">
        <f>RawData!A96</f>
        <v>ORD-5095</v>
      </c>
      <c r="B96" s="8">
        <f>RawData!B96</f>
        <v>44693</v>
      </c>
      <c r="C96" s="5" t="str">
        <f>RawData!C96</f>
        <v>C2073</v>
      </c>
      <c r="D96" s="5" t="str">
        <f>VLOOKUP(C96, Customers!A:B,2,FALSE)</f>
        <v/>
      </c>
      <c r="E96" s="5" t="str">
        <f>RawData!D96</f>
        <v>P1032</v>
      </c>
      <c r="G96" s="5" t="str">
        <f t="array" ref="G96">XLOOKUP(E96, Products!A:A, Products!C:C)</f>
        <v>Fashion</v>
      </c>
      <c r="H96" s="5">
        <f>RawData!E96</f>
        <v>1</v>
      </c>
      <c r="I96" s="5">
        <f>RawData!F96</f>
        <v>52.33</v>
      </c>
      <c r="J96" s="5">
        <f>RawData!G96</f>
        <v>52.33</v>
      </c>
      <c r="K96" s="5" t="str">
        <f>RawData!H96</f>
        <v>East</v>
      </c>
      <c r="L96" s="5" t="str">
        <f t="shared" si="1"/>
        <v>May</v>
      </c>
    </row>
    <row r="97">
      <c r="A97" s="5" t="str">
        <f>RawData!A97</f>
        <v>ORD-5096</v>
      </c>
      <c r="B97" s="8">
        <f>RawData!B97</f>
        <v>44929</v>
      </c>
      <c r="C97" s="5" t="str">
        <f>RawData!C97</f>
        <v>C2361</v>
      </c>
      <c r="D97" s="5" t="str">
        <f>VLOOKUP(C97, Customers!A:B,2,FALSE)</f>
        <v/>
      </c>
      <c r="E97" s="5" t="str">
        <f>RawData!D97</f>
        <v>P1046</v>
      </c>
      <c r="G97" s="5" t="str">
        <f t="array" ref="G97">XLOOKUP(E97, Products!A:A, Products!C:C)</f>
        <v>Electronics</v>
      </c>
      <c r="H97" s="5">
        <f>RawData!E97</f>
        <v>6</v>
      </c>
      <c r="I97" s="5">
        <f>RawData!F97</f>
        <v>83.01</v>
      </c>
      <c r="J97" s="5">
        <f>RawData!G97</f>
        <v>498.06</v>
      </c>
      <c r="K97" s="5" t="str">
        <f>RawData!H97</f>
        <v>West</v>
      </c>
      <c r="L97" s="5" t="str">
        <f t="shared" si="1"/>
        <v>Jan</v>
      </c>
    </row>
    <row r="98">
      <c r="A98" s="5" t="str">
        <f>RawData!A98</f>
        <v>ORD-5097</v>
      </c>
      <c r="B98" s="8">
        <f>RawData!B98</f>
        <v>45300</v>
      </c>
      <c r="C98" s="5" t="str">
        <f>RawData!C98</f>
        <v>C2469</v>
      </c>
      <c r="D98" s="5" t="str">
        <f>VLOOKUP(C98, Customers!A:B,2,FALSE)</f>
        <v/>
      </c>
      <c r="E98" s="5" t="str">
        <f>RawData!D98</f>
        <v>P1031</v>
      </c>
      <c r="G98" s="5" t="str">
        <f t="array" ref="G98">XLOOKUP(E98, Products!A:A, Products!C:C)</f>
        <v>Furniture</v>
      </c>
      <c r="H98" s="5">
        <f>RawData!E98</f>
        <v>6</v>
      </c>
      <c r="I98" s="5">
        <f>RawData!F98</f>
        <v>44.18</v>
      </c>
      <c r="J98" s="5">
        <f>RawData!G98</f>
        <v>265.08</v>
      </c>
      <c r="K98" s="5" t="str">
        <f>RawData!H98</f>
        <v>South</v>
      </c>
      <c r="L98" s="5" t="str">
        <f t="shared" si="1"/>
        <v>Jan</v>
      </c>
    </row>
    <row r="99">
      <c r="A99" s="5" t="str">
        <f>RawData!A99</f>
        <v>ORD-5098</v>
      </c>
      <c r="B99" s="8">
        <f>RawData!B99</f>
        <v>44661</v>
      </c>
      <c r="C99" s="5" t="str">
        <f>RawData!C99</f>
        <v>C2458</v>
      </c>
      <c r="D99" s="5" t="str">
        <f>VLOOKUP(C99, Customers!A:B,2,FALSE)</f>
        <v/>
      </c>
      <c r="E99" s="5" t="str">
        <f>RawData!D99</f>
        <v>P1001</v>
      </c>
      <c r="G99" s="5" t="str">
        <f t="array" ref="G99">XLOOKUP(E99, Products!A:A, Products!C:C)</f>
        <v>Electronics</v>
      </c>
      <c r="H99" s="5">
        <f>RawData!E99</f>
        <v>10</v>
      </c>
      <c r="I99" s="5">
        <f>RawData!F99</f>
        <v>144.69</v>
      </c>
      <c r="J99" s="5">
        <f>RawData!G99</f>
        <v>1446.9</v>
      </c>
      <c r="K99" s="5" t="str">
        <f>RawData!H99</f>
        <v>East</v>
      </c>
      <c r="L99" s="5" t="str">
        <f t="shared" si="1"/>
        <v>Apr</v>
      </c>
    </row>
    <row r="100">
      <c r="A100" s="5" t="str">
        <f>RawData!A100</f>
        <v>ORD-5099</v>
      </c>
      <c r="B100" s="8">
        <f>RawData!B100</f>
        <v>45799</v>
      </c>
      <c r="C100" s="5" t="str">
        <f>RawData!C100</f>
        <v>C2361</v>
      </c>
      <c r="D100" s="5" t="str">
        <f>VLOOKUP(C100, Customers!A:B,2,FALSE)</f>
        <v/>
      </c>
      <c r="E100" s="5" t="str">
        <f>RawData!D100</f>
        <v>P1048</v>
      </c>
      <c r="G100" s="5" t="str">
        <f t="array" ref="G100">XLOOKUP(E100, Products!A:A, Products!C:C)</f>
        <v>Accessories</v>
      </c>
      <c r="H100" s="5">
        <f>RawData!E100</f>
        <v>7</v>
      </c>
      <c r="I100" s="5">
        <f>RawData!F100</f>
        <v>174.29</v>
      </c>
      <c r="J100" s="5">
        <f>RawData!G100</f>
        <v>1220.03</v>
      </c>
      <c r="K100" s="5" t="str">
        <f>RawData!H100</f>
        <v>East</v>
      </c>
      <c r="L100" s="5" t="str">
        <f t="shared" si="1"/>
        <v>May</v>
      </c>
    </row>
    <row r="101">
      <c r="A101" s="5" t="str">
        <f>RawData!A101</f>
        <v>ORD-5100</v>
      </c>
      <c r="B101" s="8">
        <f>RawData!B101</f>
        <v>45678</v>
      </c>
      <c r="C101" s="5" t="str">
        <f>RawData!C101</f>
        <v>C2430</v>
      </c>
      <c r="D101" s="5" t="str">
        <f>VLOOKUP(C101, Customers!A:B,2,FALSE)</f>
        <v/>
      </c>
      <c r="E101" s="5" t="str">
        <f>RawData!D101</f>
        <v>P1002</v>
      </c>
      <c r="G101" s="5" t="str">
        <f t="array" ref="G101">XLOOKUP(E101, Products!A:A, Products!C:C)</f>
        <v>Furniture</v>
      </c>
      <c r="H101" s="5">
        <f>RawData!E101</f>
        <v>9</v>
      </c>
      <c r="I101" s="5">
        <f>RawData!F101</f>
        <v>109.31</v>
      </c>
      <c r="J101" s="5">
        <f>RawData!G101</f>
        <v>983.79</v>
      </c>
      <c r="K101" s="5" t="str">
        <f>RawData!H101</f>
        <v>South</v>
      </c>
      <c r="L101" s="5" t="str">
        <f t="shared" si="1"/>
        <v>Jan</v>
      </c>
    </row>
    <row r="102">
      <c r="A102" s="5" t="str">
        <f>RawData!A102</f>
        <v>ORD-5101</v>
      </c>
      <c r="B102" s="8">
        <f>RawData!B102</f>
        <v>45697</v>
      </c>
      <c r="C102" s="5" t="str">
        <f>RawData!C102</f>
        <v>C2154</v>
      </c>
      <c r="D102" s="5" t="str">
        <f>VLOOKUP(C102, Customers!A:B,2,FALSE)</f>
        <v/>
      </c>
      <c r="E102" s="5" t="str">
        <f>RawData!D102</f>
        <v>P1046</v>
      </c>
      <c r="G102" s="5" t="str">
        <f t="array" ref="G102">XLOOKUP(E102, Products!A:A, Products!C:C)</f>
        <v>Electronics</v>
      </c>
      <c r="H102" s="5">
        <f>RawData!E102</f>
        <v>2</v>
      </c>
      <c r="I102" s="5">
        <f>RawData!F102</f>
        <v>83.01</v>
      </c>
      <c r="J102" s="5">
        <f>RawData!G102</f>
        <v>166.02</v>
      </c>
      <c r="K102" s="5" t="str">
        <f>RawData!H102</f>
        <v>East</v>
      </c>
      <c r="L102" s="5" t="str">
        <f t="shared" si="1"/>
        <v>Feb</v>
      </c>
    </row>
    <row r="103">
      <c r="A103" s="5" t="str">
        <f>RawData!A103</f>
        <v>ORD-5102</v>
      </c>
      <c r="B103" s="8">
        <f>RawData!B103</f>
        <v>45569</v>
      </c>
      <c r="C103" s="5" t="str">
        <f>RawData!C103</f>
        <v>C2204</v>
      </c>
      <c r="D103" s="5" t="str">
        <f>VLOOKUP(C103, Customers!A:B,2,FALSE)</f>
        <v/>
      </c>
      <c r="E103" s="5" t="str">
        <f>RawData!D103</f>
        <v>P1037</v>
      </c>
      <c r="G103" s="5" t="str">
        <f t="array" ref="G103">XLOOKUP(E103, Products!A:A, Products!C:C)</f>
        <v>Electronics</v>
      </c>
      <c r="H103" s="5">
        <f>RawData!E103</f>
        <v>1</v>
      </c>
      <c r="I103" s="5">
        <f>RawData!F103</f>
        <v>115.76</v>
      </c>
      <c r="J103" s="5">
        <f>RawData!G103</f>
        <v>115.76</v>
      </c>
      <c r="K103" s="5" t="str">
        <f>RawData!H103</f>
        <v>West</v>
      </c>
      <c r="L103" s="5" t="str">
        <f t="shared" si="1"/>
        <v>Oct</v>
      </c>
    </row>
    <row r="104">
      <c r="A104" s="5" t="str">
        <f>RawData!A104</f>
        <v>ORD-5103</v>
      </c>
      <c r="B104" s="8">
        <f>RawData!B104</f>
        <v>45179</v>
      </c>
      <c r="C104" s="5" t="str">
        <f>RawData!C104</f>
        <v>C2252</v>
      </c>
      <c r="D104" s="5" t="str">
        <f>VLOOKUP(C104, Customers!A:B,2,FALSE)</f>
        <v/>
      </c>
      <c r="E104" s="5" t="str">
        <f>RawData!D104</f>
        <v>P1028</v>
      </c>
      <c r="G104" s="5" t="str">
        <f t="array" ref="G104">XLOOKUP(E104, Products!A:A, Products!C:C)</f>
        <v>Furniture</v>
      </c>
      <c r="H104" s="5">
        <f>RawData!E104</f>
        <v>9</v>
      </c>
      <c r="I104" s="5">
        <f>RawData!F104</f>
        <v>82.34</v>
      </c>
      <c r="J104" s="5">
        <f>RawData!G104</f>
        <v>741.06</v>
      </c>
      <c r="K104" s="5" t="str">
        <f>RawData!H104</f>
        <v>North</v>
      </c>
      <c r="L104" s="5" t="str">
        <f t="shared" si="1"/>
        <v>Sep</v>
      </c>
    </row>
    <row r="105">
      <c r="A105" s="5" t="str">
        <f>RawData!A105</f>
        <v>ORD-5104</v>
      </c>
      <c r="B105" s="8">
        <f>RawData!B105</f>
        <v>45241</v>
      </c>
      <c r="C105" s="5" t="str">
        <f>RawData!C105</f>
        <v>C2346</v>
      </c>
      <c r="D105" s="5" t="str">
        <f>VLOOKUP(C105, Customers!A:B,2,FALSE)</f>
        <v/>
      </c>
      <c r="E105" s="5" t="str">
        <f>RawData!D105</f>
        <v>P1018</v>
      </c>
      <c r="G105" s="5" t="str">
        <f t="array" ref="G105">XLOOKUP(E105, Products!A:A, Products!C:C)</f>
        <v>Electronics</v>
      </c>
      <c r="H105" s="5">
        <f>RawData!E105</f>
        <v>7</v>
      </c>
      <c r="I105" s="5">
        <f>RawData!F105</f>
        <v>131.34</v>
      </c>
      <c r="J105" s="5">
        <f>RawData!G105</f>
        <v>919.38</v>
      </c>
      <c r="K105" s="5" t="str">
        <f>RawData!H105</f>
        <v>South</v>
      </c>
      <c r="L105" s="5" t="str">
        <f t="shared" si="1"/>
        <v>Nov</v>
      </c>
    </row>
    <row r="106">
      <c r="A106" s="5" t="str">
        <f>RawData!A106</f>
        <v>ORD-5105</v>
      </c>
      <c r="B106" s="8">
        <f>RawData!B106</f>
        <v>45123</v>
      </c>
      <c r="C106" s="5" t="str">
        <f>RawData!C106</f>
        <v>C2409</v>
      </c>
      <c r="D106" s="5" t="str">
        <f>VLOOKUP(C106, Customers!A:B,2,FALSE)</f>
        <v/>
      </c>
      <c r="E106" s="5" t="str">
        <f>RawData!D106</f>
        <v>P1019</v>
      </c>
      <c r="G106" s="5" t="str">
        <f t="array" ref="G106">XLOOKUP(E106, Products!A:A, Products!C:C)</f>
        <v>Electronics</v>
      </c>
      <c r="H106" s="5">
        <f>RawData!E106</f>
        <v>6</v>
      </c>
      <c r="I106" s="5">
        <f>RawData!F106</f>
        <v>193.29</v>
      </c>
      <c r="J106" s="5">
        <f>RawData!G106</f>
        <v>1159.74</v>
      </c>
      <c r="K106" s="5" t="str">
        <f>RawData!H106</f>
        <v>West</v>
      </c>
      <c r="L106" s="5" t="str">
        <f t="shared" si="1"/>
        <v>Jul</v>
      </c>
    </row>
    <row r="107">
      <c r="A107" s="5" t="str">
        <f>RawData!A107</f>
        <v>ORD-5106</v>
      </c>
      <c r="B107" s="8">
        <f>RawData!B107</f>
        <v>45995</v>
      </c>
      <c r="C107" s="5" t="str">
        <f>RawData!C107</f>
        <v>C2406</v>
      </c>
      <c r="D107" s="5" t="str">
        <f>VLOOKUP(C107, Customers!A:B,2,FALSE)</f>
        <v/>
      </c>
      <c r="E107" s="5" t="str">
        <f>RawData!D107</f>
        <v>P1034</v>
      </c>
      <c r="G107" s="5" t="str">
        <f t="array" ref="G107">XLOOKUP(E107, Products!A:A, Products!C:C)</f>
        <v>Electronics</v>
      </c>
      <c r="H107" s="5">
        <f>RawData!E107</f>
        <v>7</v>
      </c>
      <c r="I107" s="5">
        <f>RawData!F107</f>
        <v>191.23</v>
      </c>
      <c r="J107" s="5">
        <f>RawData!G107</f>
        <v>1338.61</v>
      </c>
      <c r="K107" s="5" t="str">
        <f>RawData!H107</f>
        <v>North</v>
      </c>
      <c r="L107" s="5" t="str">
        <f t="shared" si="1"/>
        <v>Dec</v>
      </c>
    </row>
    <row r="108">
      <c r="A108" s="5" t="str">
        <f>RawData!A108</f>
        <v>ORD-5107</v>
      </c>
      <c r="B108" s="8">
        <f>RawData!B108</f>
        <v>45363</v>
      </c>
      <c r="C108" s="5" t="str">
        <f>RawData!C108</f>
        <v>C2381</v>
      </c>
      <c r="D108" s="5" t="str">
        <f>VLOOKUP(C108, Customers!A:B,2,FALSE)</f>
        <v/>
      </c>
      <c r="E108" s="5" t="str">
        <f>RawData!D108</f>
        <v>P1039</v>
      </c>
      <c r="G108" s="5" t="str">
        <f t="array" ref="G108">XLOOKUP(E108, Products!A:A, Products!C:C)</f>
        <v>Electronics</v>
      </c>
      <c r="H108" s="5">
        <f>RawData!E108</f>
        <v>8</v>
      </c>
      <c r="I108" s="5">
        <f>RawData!F108</f>
        <v>52.53</v>
      </c>
      <c r="J108" s="5">
        <f>RawData!G108</f>
        <v>420.24</v>
      </c>
      <c r="K108" s="5" t="str">
        <f>RawData!H108</f>
        <v>West</v>
      </c>
      <c r="L108" s="5" t="str">
        <f t="shared" si="1"/>
        <v>Mar</v>
      </c>
    </row>
    <row r="109">
      <c r="A109" s="5" t="str">
        <f>RawData!A109</f>
        <v>ORD-5108</v>
      </c>
      <c r="B109" s="8">
        <f>RawData!B109</f>
        <v>44958</v>
      </c>
      <c r="C109" s="5" t="str">
        <f>RawData!C109</f>
        <v>C2024</v>
      </c>
      <c r="D109" s="5" t="str">
        <f>VLOOKUP(C109, Customers!A:B,2,FALSE)</f>
        <v/>
      </c>
      <c r="E109" s="5" t="str">
        <f>RawData!D109</f>
        <v>P1045</v>
      </c>
      <c r="G109" s="5" t="str">
        <f t="array" ref="G109">XLOOKUP(E109, Products!A:A, Products!C:C)</f>
        <v>Accessories</v>
      </c>
      <c r="H109" s="5">
        <f>RawData!E109</f>
        <v>7</v>
      </c>
      <c r="I109" s="5">
        <f>RawData!F109</f>
        <v>159.7</v>
      </c>
      <c r="J109" s="5">
        <f>RawData!G109</f>
        <v>1117.9</v>
      </c>
      <c r="K109" s="5" t="str">
        <f>RawData!H109</f>
        <v>South</v>
      </c>
      <c r="L109" s="5" t="str">
        <f t="shared" si="1"/>
        <v>Feb</v>
      </c>
    </row>
    <row r="110">
      <c r="A110" s="5" t="str">
        <f>RawData!A110</f>
        <v>ORD-5109</v>
      </c>
      <c r="B110" s="8">
        <f>RawData!B110</f>
        <v>44619</v>
      </c>
      <c r="C110" s="5" t="str">
        <f>RawData!C110</f>
        <v>C2374</v>
      </c>
      <c r="D110" s="5" t="str">
        <f>VLOOKUP(C110, Customers!A:B,2,FALSE)</f>
        <v/>
      </c>
      <c r="E110" s="5" t="str">
        <f>RawData!D110</f>
        <v>P1014</v>
      </c>
      <c r="G110" s="5" t="str">
        <f t="array" ref="G110">XLOOKUP(E110, Products!A:A, Products!C:C)</f>
        <v>Electronics</v>
      </c>
      <c r="H110" s="5">
        <f>RawData!E110</f>
        <v>9</v>
      </c>
      <c r="I110" s="5">
        <f>RawData!F110</f>
        <v>54.76</v>
      </c>
      <c r="J110" s="5">
        <f>RawData!G110</f>
        <v>492.84</v>
      </c>
      <c r="K110" s="5" t="str">
        <f>RawData!H110</f>
        <v>North</v>
      </c>
      <c r="L110" s="5" t="str">
        <f t="shared" si="1"/>
        <v>Feb</v>
      </c>
    </row>
    <row r="111">
      <c r="A111" s="5" t="str">
        <f>RawData!A111</f>
        <v>ORD-5110</v>
      </c>
      <c r="B111" s="8">
        <f>RawData!B111</f>
        <v>44786</v>
      </c>
      <c r="C111" s="5" t="str">
        <f>RawData!C111</f>
        <v>C2299</v>
      </c>
      <c r="D111" s="5" t="str">
        <f>VLOOKUP(C111, Customers!A:B,2,FALSE)</f>
        <v/>
      </c>
      <c r="E111" s="5" t="str">
        <f>RawData!D111</f>
        <v>P1045</v>
      </c>
      <c r="G111" s="5" t="str">
        <f t="array" ref="G111">XLOOKUP(E111, Products!A:A, Products!C:C)</f>
        <v>Accessories</v>
      </c>
      <c r="H111" s="5">
        <f>RawData!E111</f>
        <v>9</v>
      </c>
      <c r="I111" s="5">
        <f>RawData!F111</f>
        <v>159.7</v>
      </c>
      <c r="J111" s="5">
        <f>RawData!G111</f>
        <v>1437.3</v>
      </c>
      <c r="K111" s="5" t="str">
        <f>RawData!H111</f>
        <v>South</v>
      </c>
      <c r="L111" s="5" t="str">
        <f t="shared" si="1"/>
        <v>Aug</v>
      </c>
    </row>
    <row r="112">
      <c r="A112" s="5" t="str">
        <f>RawData!A112</f>
        <v>ORD-5111</v>
      </c>
      <c r="B112" s="8">
        <f>RawData!B112</f>
        <v>45171</v>
      </c>
      <c r="C112" s="5" t="str">
        <f>RawData!C112</f>
        <v>C2209</v>
      </c>
      <c r="D112" s="5" t="str">
        <f>VLOOKUP(C112, Customers!A:B,2,FALSE)</f>
        <v/>
      </c>
      <c r="E112" s="5" t="str">
        <f>RawData!D112</f>
        <v>P1007</v>
      </c>
      <c r="G112" s="5" t="str">
        <f t="array" ref="G112">XLOOKUP(E112, Products!A:A, Products!C:C)</f>
        <v>Accessories</v>
      </c>
      <c r="H112" s="5">
        <f>RawData!E112</f>
        <v>10</v>
      </c>
      <c r="I112" s="5">
        <f>RawData!F112</f>
        <v>37.05</v>
      </c>
      <c r="J112" s="5">
        <f>RawData!G112</f>
        <v>370.5</v>
      </c>
      <c r="K112" s="5" t="str">
        <f>RawData!H112</f>
        <v>South</v>
      </c>
      <c r="L112" s="5" t="str">
        <f t="shared" si="1"/>
        <v>Sep</v>
      </c>
    </row>
    <row r="113">
      <c r="A113" s="5" t="str">
        <f>RawData!A113</f>
        <v>ORD-5112</v>
      </c>
      <c r="B113" s="8">
        <f>RawData!B113</f>
        <v>44643</v>
      </c>
      <c r="C113" s="5" t="str">
        <f>RawData!C113</f>
        <v>C2036</v>
      </c>
      <c r="D113" s="5" t="str">
        <f>VLOOKUP(C113, Customers!A:B,2,FALSE)</f>
        <v/>
      </c>
      <c r="E113" s="5" t="str">
        <f>RawData!D113</f>
        <v>P1038</v>
      </c>
      <c r="G113" s="5" t="str">
        <f t="array" ref="G113">XLOOKUP(E113, Products!A:A, Products!C:C)</f>
        <v>Accessories</v>
      </c>
      <c r="H113" s="5">
        <f>RawData!E113</f>
        <v>5</v>
      </c>
      <c r="I113" s="5">
        <f>RawData!F113</f>
        <v>73.93</v>
      </c>
      <c r="J113" s="5">
        <f>RawData!G113</f>
        <v>369.65</v>
      </c>
      <c r="K113" s="5" t="str">
        <f>RawData!H113</f>
        <v>West</v>
      </c>
      <c r="L113" s="5" t="str">
        <f t="shared" si="1"/>
        <v>Mar</v>
      </c>
    </row>
    <row r="114">
      <c r="A114" s="5" t="str">
        <f>RawData!A114</f>
        <v>ORD-5113</v>
      </c>
      <c r="B114" s="8">
        <f>RawData!B114</f>
        <v>45492</v>
      </c>
      <c r="C114" s="5" t="str">
        <f>RawData!C114</f>
        <v>C2460</v>
      </c>
      <c r="D114" s="5" t="str">
        <f>VLOOKUP(C114, Customers!A:B,2,FALSE)</f>
        <v/>
      </c>
      <c r="E114" s="5" t="str">
        <f>RawData!D114</f>
        <v>P1029</v>
      </c>
      <c r="G114" s="5" t="str">
        <f t="array" ref="G114">XLOOKUP(E114, Products!A:A, Products!C:C)</f>
        <v>Furniture</v>
      </c>
      <c r="H114" s="5">
        <f>RawData!E114</f>
        <v>5</v>
      </c>
      <c r="I114" s="5">
        <f>RawData!F114</f>
        <v>104.81</v>
      </c>
      <c r="J114" s="5">
        <f>RawData!G114</f>
        <v>524.05</v>
      </c>
      <c r="K114" s="5" t="str">
        <f>RawData!H114</f>
        <v>North</v>
      </c>
      <c r="L114" s="5" t="str">
        <f t="shared" si="1"/>
        <v>Jul</v>
      </c>
    </row>
    <row r="115">
      <c r="A115" s="5" t="str">
        <f>RawData!A115</f>
        <v>ORD-5114</v>
      </c>
      <c r="B115" s="8">
        <f>RawData!B115</f>
        <v>44602</v>
      </c>
      <c r="C115" s="5" t="str">
        <f>RawData!C115</f>
        <v>C2403</v>
      </c>
      <c r="D115" s="5" t="str">
        <f>VLOOKUP(C115, Customers!A:B,2,FALSE)</f>
        <v/>
      </c>
      <c r="E115" s="5" t="str">
        <f>RawData!D115</f>
        <v>P1035</v>
      </c>
      <c r="G115" s="5" t="str">
        <f t="array" ref="G115">XLOOKUP(E115, Products!A:A, Products!C:C)</f>
        <v>Home</v>
      </c>
      <c r="H115" s="5">
        <f>RawData!E115</f>
        <v>5</v>
      </c>
      <c r="I115" s="5">
        <f>RawData!F115</f>
        <v>35.91</v>
      </c>
      <c r="J115" s="5">
        <f>RawData!G115</f>
        <v>179.55</v>
      </c>
      <c r="K115" s="5" t="str">
        <f>RawData!H115</f>
        <v>East</v>
      </c>
      <c r="L115" s="5" t="str">
        <f t="shared" si="1"/>
        <v>Feb</v>
      </c>
    </row>
    <row r="116">
      <c r="A116" s="5" t="str">
        <f>RawData!A116</f>
        <v>ORD-5115</v>
      </c>
      <c r="B116" s="8">
        <f>RawData!B116</f>
        <v>45407</v>
      </c>
      <c r="C116" s="5" t="str">
        <f>RawData!C116</f>
        <v>C2459</v>
      </c>
      <c r="D116" s="5" t="str">
        <f>VLOOKUP(C116, Customers!A:B,2,FALSE)</f>
        <v/>
      </c>
      <c r="E116" s="5" t="str">
        <f>RawData!D116</f>
        <v>P1006</v>
      </c>
      <c r="G116" s="5" t="str">
        <f t="array" ref="G116">XLOOKUP(E116, Products!A:A, Products!C:C)</f>
        <v>Electronics</v>
      </c>
      <c r="H116" s="5">
        <f>RawData!E116</f>
        <v>4</v>
      </c>
      <c r="I116" s="5">
        <f>RawData!F116</f>
        <v>143.58</v>
      </c>
      <c r="J116" s="5">
        <f>RawData!G116</f>
        <v>574.32</v>
      </c>
      <c r="K116" s="5" t="str">
        <f>RawData!H116</f>
        <v>East</v>
      </c>
      <c r="L116" s="5" t="str">
        <f t="shared" si="1"/>
        <v>Apr</v>
      </c>
    </row>
    <row r="117">
      <c r="A117" s="5" t="str">
        <f>RawData!A117</f>
        <v>ORD-5116</v>
      </c>
      <c r="B117" s="8">
        <f>RawData!B117</f>
        <v>44826</v>
      </c>
      <c r="C117" s="5" t="str">
        <f>RawData!C117</f>
        <v>C2251</v>
      </c>
      <c r="D117" s="5" t="str">
        <f>VLOOKUP(C117, Customers!A:B,2,FALSE)</f>
        <v/>
      </c>
      <c r="E117" s="5" t="str">
        <f>RawData!D117</f>
        <v>P1008</v>
      </c>
      <c r="G117" s="5" t="str">
        <f t="array" ref="G117">XLOOKUP(E117, Products!A:A, Products!C:C)</f>
        <v>Accessories</v>
      </c>
      <c r="H117" s="5">
        <f>RawData!E117</f>
        <v>8</v>
      </c>
      <c r="I117" s="5">
        <f>RawData!F117</f>
        <v>190.65</v>
      </c>
      <c r="J117" s="5">
        <f>RawData!G117</f>
        <v>1525.2</v>
      </c>
      <c r="K117" s="5" t="str">
        <f>RawData!H117</f>
        <v>West</v>
      </c>
      <c r="L117" s="5" t="str">
        <f t="shared" si="1"/>
        <v>Sep</v>
      </c>
    </row>
    <row r="118">
      <c r="A118" s="5" t="str">
        <f>RawData!A118</f>
        <v>ORD-5117</v>
      </c>
      <c r="B118" s="8">
        <f>RawData!B118</f>
        <v>45976</v>
      </c>
      <c r="C118" s="5" t="str">
        <f>RawData!C118</f>
        <v>C2090</v>
      </c>
      <c r="D118" s="5" t="str">
        <f>VLOOKUP(C118, Customers!A:B,2,FALSE)</f>
        <v/>
      </c>
      <c r="E118" s="5" t="str">
        <f>RawData!D118</f>
        <v>P1028</v>
      </c>
      <c r="G118" s="5" t="str">
        <f t="array" ref="G118">XLOOKUP(E118, Products!A:A, Products!C:C)</f>
        <v>Furniture</v>
      </c>
      <c r="H118" s="5">
        <f>RawData!E118</f>
        <v>1</v>
      </c>
      <c r="I118" s="5">
        <f>RawData!F118</f>
        <v>82.34</v>
      </c>
      <c r="J118" s="5">
        <f>RawData!G118</f>
        <v>82.34</v>
      </c>
      <c r="K118" s="5" t="str">
        <f>RawData!H118</f>
        <v>North</v>
      </c>
      <c r="L118" s="5" t="str">
        <f t="shared" si="1"/>
        <v>Nov</v>
      </c>
    </row>
    <row r="119">
      <c r="A119" s="5" t="str">
        <f>RawData!A119</f>
        <v>ORD-5118</v>
      </c>
      <c r="B119" s="8">
        <f>RawData!B119</f>
        <v>46029</v>
      </c>
      <c r="C119" s="5" t="str">
        <f>RawData!C119</f>
        <v>C2291</v>
      </c>
      <c r="D119" s="5" t="str">
        <f>VLOOKUP(C119, Customers!A:B,2,FALSE)</f>
        <v/>
      </c>
      <c r="E119" s="5" t="str">
        <f>RawData!D119</f>
        <v>P1037</v>
      </c>
      <c r="G119" s="5" t="str">
        <f t="array" ref="G119">XLOOKUP(E119, Products!A:A, Products!C:C)</f>
        <v>Electronics</v>
      </c>
      <c r="H119" s="5">
        <f>RawData!E119</f>
        <v>1</v>
      </c>
      <c r="I119" s="5">
        <f>RawData!F119</f>
        <v>115.76</v>
      </c>
      <c r="J119" s="5">
        <f>RawData!G119</f>
        <v>115.76</v>
      </c>
      <c r="K119" s="5" t="str">
        <f>RawData!H119</f>
        <v>West</v>
      </c>
      <c r="L119" s="5" t="str">
        <f t="shared" si="1"/>
        <v>Jan</v>
      </c>
    </row>
    <row r="120">
      <c r="A120" s="5" t="str">
        <f>RawData!A120</f>
        <v>ORD-5119</v>
      </c>
      <c r="B120" s="8">
        <f>RawData!B120</f>
        <v>44727</v>
      </c>
      <c r="C120" s="5" t="str">
        <f>RawData!C120</f>
        <v>C2409</v>
      </c>
      <c r="D120" s="5" t="str">
        <f>VLOOKUP(C120, Customers!A:B,2,FALSE)</f>
        <v/>
      </c>
      <c r="E120" s="5" t="str">
        <f>RawData!D120</f>
        <v>P1039</v>
      </c>
      <c r="G120" s="5" t="str">
        <f t="array" ref="G120">XLOOKUP(E120, Products!A:A, Products!C:C)</f>
        <v>Electronics</v>
      </c>
      <c r="H120" s="5">
        <f>RawData!E120</f>
        <v>7</v>
      </c>
      <c r="I120" s="5">
        <f>RawData!F120</f>
        <v>52.53</v>
      </c>
      <c r="J120" s="5">
        <f>RawData!G120</f>
        <v>367.71</v>
      </c>
      <c r="K120" s="5" t="str">
        <f>RawData!H120</f>
        <v>North</v>
      </c>
      <c r="L120" s="5" t="str">
        <f t="shared" si="1"/>
        <v>Jun</v>
      </c>
    </row>
    <row r="121">
      <c r="A121" s="5" t="str">
        <f>RawData!A121</f>
        <v>ORD-5120</v>
      </c>
      <c r="B121" s="8">
        <f>RawData!B121</f>
        <v>45292</v>
      </c>
      <c r="C121" s="5" t="str">
        <f>RawData!C121</f>
        <v>C2348</v>
      </c>
      <c r="D121" s="5" t="str">
        <f>VLOOKUP(C121, Customers!A:B,2,FALSE)</f>
        <v/>
      </c>
      <c r="E121" s="5" t="str">
        <f>RawData!D121</f>
        <v>P1003</v>
      </c>
      <c r="G121" s="5" t="str">
        <f t="array" ref="G121">XLOOKUP(E121, Products!A:A, Products!C:C)</f>
        <v>Electronics</v>
      </c>
      <c r="H121" s="5">
        <f>RawData!E121</f>
        <v>8</v>
      </c>
      <c r="I121" s="5">
        <f>RawData!F121</f>
        <v>187.26</v>
      </c>
      <c r="J121" s="5">
        <f>RawData!G121</f>
        <v>1498.08</v>
      </c>
      <c r="K121" s="5" t="str">
        <f>RawData!H121</f>
        <v>East</v>
      </c>
      <c r="L121" s="5" t="str">
        <f t="shared" si="1"/>
        <v>Jan</v>
      </c>
    </row>
    <row r="122">
      <c r="A122" s="5" t="str">
        <f>RawData!A122</f>
        <v>ORD-5121</v>
      </c>
      <c r="B122" s="8">
        <f>RawData!B122</f>
        <v>45554</v>
      </c>
      <c r="C122" s="5" t="str">
        <f>RawData!C122</f>
        <v>C2096</v>
      </c>
      <c r="D122" s="5" t="str">
        <f>VLOOKUP(C122, Customers!A:B,2,FALSE)</f>
        <v/>
      </c>
      <c r="E122" s="5" t="str">
        <f>RawData!D122</f>
        <v>P1034</v>
      </c>
      <c r="G122" s="5" t="str">
        <f t="array" ref="G122">XLOOKUP(E122, Products!A:A, Products!C:C)</f>
        <v>Electronics</v>
      </c>
      <c r="H122" s="5">
        <f>RawData!E122</f>
        <v>4</v>
      </c>
      <c r="I122" s="5">
        <f>RawData!F122</f>
        <v>191.23</v>
      </c>
      <c r="J122" s="5">
        <f>RawData!G122</f>
        <v>764.92</v>
      </c>
      <c r="K122" s="5" t="str">
        <f>RawData!H122</f>
        <v>East</v>
      </c>
      <c r="L122" s="5" t="str">
        <f t="shared" si="1"/>
        <v>Sep</v>
      </c>
    </row>
    <row r="123">
      <c r="A123" s="5" t="str">
        <f>RawData!A123</f>
        <v>ORD-5122</v>
      </c>
      <c r="B123" s="8">
        <f>RawData!B123</f>
        <v>44690</v>
      </c>
      <c r="C123" s="5" t="str">
        <f>RawData!C123</f>
        <v>C2173</v>
      </c>
      <c r="D123" s="5" t="str">
        <f>VLOOKUP(C123, Customers!A:B,2,FALSE)</f>
        <v/>
      </c>
      <c r="E123" s="5" t="str">
        <f>RawData!D123</f>
        <v>P1015</v>
      </c>
      <c r="G123" s="5" t="str">
        <f t="array" ref="G123">XLOOKUP(E123, Products!A:A, Products!C:C)</f>
        <v>Furniture</v>
      </c>
      <c r="H123" s="5">
        <f>RawData!E123</f>
        <v>4</v>
      </c>
      <c r="I123" s="5">
        <f>RawData!F123</f>
        <v>144.86</v>
      </c>
      <c r="J123" s="5">
        <f>RawData!G123</f>
        <v>579.44</v>
      </c>
      <c r="K123" s="5" t="str">
        <f>RawData!H123</f>
        <v>North</v>
      </c>
      <c r="L123" s="5" t="str">
        <f t="shared" si="1"/>
        <v>May</v>
      </c>
    </row>
    <row r="124">
      <c r="A124" s="5" t="str">
        <f>RawData!A124</f>
        <v>ORD-5123</v>
      </c>
      <c r="B124" s="8">
        <f>RawData!B124</f>
        <v>44669</v>
      </c>
      <c r="C124" s="5" t="str">
        <f>RawData!C124</f>
        <v>C2102</v>
      </c>
      <c r="D124" s="5" t="str">
        <f>VLOOKUP(C124, Customers!A:B,2,FALSE)</f>
        <v/>
      </c>
      <c r="E124" s="5" t="str">
        <f>RawData!D124</f>
        <v>P1035</v>
      </c>
      <c r="G124" s="5" t="str">
        <f t="array" ref="G124">XLOOKUP(E124, Products!A:A, Products!C:C)</f>
        <v>Home</v>
      </c>
      <c r="H124" s="5">
        <f>RawData!E124</f>
        <v>2</v>
      </c>
      <c r="I124" s="5">
        <f>RawData!F124</f>
        <v>35.91</v>
      </c>
      <c r="J124" s="5">
        <f>RawData!G124</f>
        <v>71.82</v>
      </c>
      <c r="K124" s="5" t="str">
        <f>RawData!H124</f>
        <v>South</v>
      </c>
      <c r="L124" s="5" t="str">
        <f t="shared" si="1"/>
        <v>Apr</v>
      </c>
    </row>
    <row r="125">
      <c r="A125" s="5" t="str">
        <f>RawData!A125</f>
        <v>ORD-5124</v>
      </c>
      <c r="B125" s="8">
        <f>RawData!B125</f>
        <v>44956</v>
      </c>
      <c r="C125" s="5" t="str">
        <f>RawData!C125</f>
        <v>C2178</v>
      </c>
      <c r="D125" s="5" t="str">
        <f>VLOOKUP(C125, Customers!A:B,2,FALSE)</f>
        <v/>
      </c>
      <c r="E125" s="5" t="str">
        <f>RawData!D125</f>
        <v>P1019</v>
      </c>
      <c r="G125" s="5" t="str">
        <f t="array" ref="G125">XLOOKUP(E125, Products!A:A, Products!C:C)</f>
        <v>Electronics</v>
      </c>
      <c r="H125" s="5">
        <f>RawData!E125</f>
        <v>5</v>
      </c>
      <c r="I125" s="5">
        <f>RawData!F125</f>
        <v>193.29</v>
      </c>
      <c r="J125" s="5">
        <f>RawData!G125</f>
        <v>966.45</v>
      </c>
      <c r="K125" s="5" t="str">
        <f>RawData!H125</f>
        <v>West</v>
      </c>
      <c r="L125" s="5" t="str">
        <f t="shared" si="1"/>
        <v>Jan</v>
      </c>
    </row>
    <row r="126">
      <c r="A126" s="5" t="str">
        <f>RawData!A126</f>
        <v>ORD-5125</v>
      </c>
      <c r="B126" s="8">
        <f>RawData!B126</f>
        <v>44736</v>
      </c>
      <c r="C126" s="5" t="str">
        <f>RawData!C126</f>
        <v>C2080</v>
      </c>
      <c r="D126" s="5" t="str">
        <f>VLOOKUP(C126, Customers!A:B,2,FALSE)</f>
        <v/>
      </c>
      <c r="E126" s="5" t="str">
        <f>RawData!D126</f>
        <v>P1020</v>
      </c>
      <c r="G126" s="5" t="str">
        <f t="array" ref="G126">XLOOKUP(E126, Products!A:A, Products!C:C)</f>
        <v>Furniture</v>
      </c>
      <c r="H126" s="5">
        <f>RawData!E126</f>
        <v>9</v>
      </c>
      <c r="I126" s="5">
        <f>RawData!F126</f>
        <v>94.59</v>
      </c>
      <c r="J126" s="5">
        <f>RawData!G126</f>
        <v>851.31</v>
      </c>
      <c r="K126" s="5" t="str">
        <f>RawData!H126</f>
        <v>West</v>
      </c>
      <c r="L126" s="5" t="str">
        <f t="shared" si="1"/>
        <v>Jun</v>
      </c>
    </row>
    <row r="127">
      <c r="A127" s="5" t="str">
        <f>RawData!A127</f>
        <v>ORD-5126</v>
      </c>
      <c r="B127" s="8">
        <f>RawData!B127</f>
        <v>44677</v>
      </c>
      <c r="C127" s="5" t="str">
        <f>RawData!C127</f>
        <v>C2056</v>
      </c>
      <c r="D127" s="5" t="str">
        <f>VLOOKUP(C127, Customers!A:B,2,FALSE)</f>
        <v/>
      </c>
      <c r="E127" s="5" t="str">
        <f>RawData!D127</f>
        <v>P1045</v>
      </c>
      <c r="G127" s="5" t="str">
        <f t="array" ref="G127">XLOOKUP(E127, Products!A:A, Products!C:C)</f>
        <v>Accessories</v>
      </c>
      <c r="H127" s="5">
        <f>RawData!E127</f>
        <v>3</v>
      </c>
      <c r="I127" s="5">
        <f>RawData!F127</f>
        <v>159.7</v>
      </c>
      <c r="J127" s="5">
        <f>RawData!G127</f>
        <v>479.1</v>
      </c>
      <c r="K127" s="5" t="str">
        <f>RawData!H127</f>
        <v>West</v>
      </c>
      <c r="L127" s="5" t="str">
        <f t="shared" si="1"/>
        <v>Apr</v>
      </c>
    </row>
    <row r="128">
      <c r="A128" s="5" t="str">
        <f>RawData!A128</f>
        <v>ORD-5127</v>
      </c>
      <c r="B128" s="8">
        <f>RawData!B128</f>
        <v>45146</v>
      </c>
      <c r="C128" s="5" t="str">
        <f>RawData!C128</f>
        <v>C2408</v>
      </c>
      <c r="D128" s="5" t="str">
        <f>VLOOKUP(C128, Customers!A:B,2,FALSE)</f>
        <v/>
      </c>
      <c r="E128" s="5" t="str">
        <f>RawData!D128</f>
        <v>P1032</v>
      </c>
      <c r="G128" s="5" t="str">
        <f t="array" ref="G128">XLOOKUP(E128, Products!A:A, Products!C:C)</f>
        <v>Fashion</v>
      </c>
      <c r="H128" s="5">
        <f>RawData!E128</f>
        <v>10</v>
      </c>
      <c r="I128" s="5">
        <f>RawData!F128</f>
        <v>52.33</v>
      </c>
      <c r="J128" s="5">
        <f>RawData!G128</f>
        <v>523.3</v>
      </c>
      <c r="K128" s="5" t="str">
        <f>RawData!H128</f>
        <v>West</v>
      </c>
      <c r="L128" s="5" t="str">
        <f t="shared" si="1"/>
        <v>Aug</v>
      </c>
    </row>
    <row r="129">
      <c r="A129" s="5" t="str">
        <f>RawData!A129</f>
        <v>ORD-5128</v>
      </c>
      <c r="B129" s="8">
        <f>RawData!B129</f>
        <v>45800</v>
      </c>
      <c r="C129" s="5" t="str">
        <f>RawData!C129</f>
        <v>C2196</v>
      </c>
      <c r="D129" s="5" t="str">
        <f>VLOOKUP(C129, Customers!A:B,2,FALSE)</f>
        <v/>
      </c>
      <c r="E129" s="5" t="str">
        <f>RawData!D129</f>
        <v>P1036</v>
      </c>
      <c r="G129" s="5" t="str">
        <f t="array" ref="G129">XLOOKUP(E129, Products!A:A, Products!C:C)</f>
        <v>Fashion</v>
      </c>
      <c r="H129" s="5">
        <f>RawData!E129</f>
        <v>1</v>
      </c>
      <c r="I129" s="5">
        <f>RawData!F129</f>
        <v>146.68</v>
      </c>
      <c r="J129" s="5">
        <f>RawData!G129</f>
        <v>146.68</v>
      </c>
      <c r="K129" s="5" t="str">
        <f>RawData!H129</f>
        <v>West</v>
      </c>
      <c r="L129" s="5" t="str">
        <f t="shared" si="1"/>
        <v>May</v>
      </c>
    </row>
    <row r="130">
      <c r="A130" s="5" t="str">
        <f>RawData!A130</f>
        <v>ORD-5129</v>
      </c>
      <c r="B130" s="8">
        <f>RawData!B130</f>
        <v>45830</v>
      </c>
      <c r="C130" s="5" t="str">
        <f>RawData!C130</f>
        <v>C2378</v>
      </c>
      <c r="D130" s="5" t="str">
        <f>VLOOKUP(C130, Customers!A:B,2,FALSE)</f>
        <v/>
      </c>
      <c r="E130" s="5" t="str">
        <f>RawData!D130</f>
        <v>P1013</v>
      </c>
      <c r="G130" s="5" t="str">
        <f t="array" ref="G130">XLOOKUP(E130, Products!A:A, Products!C:C)</f>
        <v>Furniture</v>
      </c>
      <c r="H130" s="5">
        <f>RawData!E130</f>
        <v>10</v>
      </c>
      <c r="I130" s="5">
        <f>RawData!F130</f>
        <v>59.18</v>
      </c>
      <c r="J130" s="5">
        <f>RawData!G130</f>
        <v>591.8</v>
      </c>
      <c r="K130" s="5" t="str">
        <f>RawData!H130</f>
        <v>East</v>
      </c>
      <c r="L130" s="5" t="str">
        <f t="shared" si="1"/>
        <v>Jun</v>
      </c>
    </row>
    <row r="131">
      <c r="A131" s="5" t="str">
        <f>RawData!A131</f>
        <v>ORD-5130</v>
      </c>
      <c r="B131" s="8">
        <f>RawData!B131</f>
        <v>45446</v>
      </c>
      <c r="C131" s="5" t="str">
        <f>RawData!C131</f>
        <v>C2380</v>
      </c>
      <c r="D131" s="5" t="str">
        <f>VLOOKUP(C131, Customers!A:B,2,FALSE)</f>
        <v/>
      </c>
      <c r="E131" s="5" t="str">
        <f>RawData!D131</f>
        <v>P1032</v>
      </c>
      <c r="G131" s="5" t="str">
        <f t="array" ref="G131">XLOOKUP(E131, Products!A:A, Products!C:C)</f>
        <v>Fashion</v>
      </c>
      <c r="H131" s="5">
        <f>RawData!E131</f>
        <v>4</v>
      </c>
      <c r="I131" s="5">
        <f>RawData!F131</f>
        <v>52.33</v>
      </c>
      <c r="J131" s="5">
        <f>RawData!G131</f>
        <v>209.32</v>
      </c>
      <c r="K131" s="5" t="str">
        <f>RawData!H131</f>
        <v>West</v>
      </c>
      <c r="L131" s="5" t="str">
        <f t="shared" si="1"/>
        <v>Jun</v>
      </c>
    </row>
    <row r="132">
      <c r="A132" s="5" t="str">
        <f>RawData!A132</f>
        <v>ORD-5131</v>
      </c>
      <c r="B132" s="8">
        <f>RawData!B132</f>
        <v>45112</v>
      </c>
      <c r="C132" s="5" t="str">
        <f>RawData!C132</f>
        <v>C2034</v>
      </c>
      <c r="D132" s="5" t="str">
        <f>VLOOKUP(C132, Customers!A:B,2,FALSE)</f>
        <v/>
      </c>
      <c r="E132" s="5" t="str">
        <f>RawData!D132</f>
        <v>P1018</v>
      </c>
      <c r="G132" s="5" t="str">
        <f t="array" ref="G132">XLOOKUP(E132, Products!A:A, Products!C:C)</f>
        <v>Electronics</v>
      </c>
      <c r="H132" s="5">
        <f>RawData!E132</f>
        <v>5</v>
      </c>
      <c r="I132" s="5">
        <f>RawData!F132</f>
        <v>131.34</v>
      </c>
      <c r="J132" s="5">
        <f>RawData!G132</f>
        <v>656.7</v>
      </c>
      <c r="K132" s="5" t="str">
        <f>RawData!H132</f>
        <v>East</v>
      </c>
      <c r="L132" s="5" t="str">
        <f t="shared" si="1"/>
        <v>Jul</v>
      </c>
    </row>
    <row r="133">
      <c r="A133" s="5" t="str">
        <f>RawData!A133</f>
        <v>ORD-5132</v>
      </c>
      <c r="B133" s="8">
        <f>RawData!B133</f>
        <v>45179</v>
      </c>
      <c r="C133" s="5" t="str">
        <f>RawData!C133</f>
        <v>C2417</v>
      </c>
      <c r="D133" s="5" t="str">
        <f>VLOOKUP(C133, Customers!A:B,2,FALSE)</f>
        <v/>
      </c>
      <c r="E133" s="5" t="str">
        <f>RawData!D133</f>
        <v>P1010</v>
      </c>
      <c r="G133" s="5" t="str">
        <f t="array" ref="G133">XLOOKUP(E133, Products!A:A, Products!C:C)</f>
        <v>Electronics</v>
      </c>
      <c r="H133" s="5">
        <f>RawData!E133</f>
        <v>6</v>
      </c>
      <c r="I133" s="5">
        <f>RawData!F133</f>
        <v>75.41</v>
      </c>
      <c r="J133" s="5">
        <f>RawData!G133</f>
        <v>452.46</v>
      </c>
      <c r="K133" s="5" t="str">
        <f>RawData!H133</f>
        <v>North</v>
      </c>
      <c r="L133" s="5" t="str">
        <f t="shared" si="1"/>
        <v>Sep</v>
      </c>
    </row>
    <row r="134">
      <c r="A134" s="5" t="str">
        <f>RawData!A134</f>
        <v>ORD-5133</v>
      </c>
      <c r="B134" s="8">
        <f>RawData!B134</f>
        <v>45060</v>
      </c>
      <c r="C134" s="5" t="str">
        <f>RawData!C134</f>
        <v>C2030</v>
      </c>
      <c r="D134" s="5" t="str">
        <f>VLOOKUP(C134, Customers!A:B,2,FALSE)</f>
        <v/>
      </c>
      <c r="E134" s="5" t="str">
        <f>RawData!D134</f>
        <v>P1004</v>
      </c>
      <c r="G134" s="5" t="str">
        <f t="array" ref="G134">XLOOKUP(E134, Products!A:A, Products!C:C)</f>
        <v>Home</v>
      </c>
      <c r="H134" s="5">
        <f>RawData!E134</f>
        <v>5</v>
      </c>
      <c r="I134" s="5">
        <f>RawData!F134</f>
        <v>89.45</v>
      </c>
      <c r="J134" s="5">
        <f>RawData!G134</f>
        <v>447.25</v>
      </c>
      <c r="K134" s="5" t="str">
        <f>RawData!H134</f>
        <v>North</v>
      </c>
      <c r="L134" s="5" t="str">
        <f t="shared" si="1"/>
        <v>May</v>
      </c>
    </row>
    <row r="135">
      <c r="A135" s="5" t="str">
        <f>RawData!A135</f>
        <v>ORD-5134</v>
      </c>
      <c r="B135" s="8">
        <f>RawData!B135</f>
        <v>44925</v>
      </c>
      <c r="C135" s="5" t="str">
        <f>RawData!C135</f>
        <v>C2433</v>
      </c>
      <c r="D135" s="5" t="str">
        <f>VLOOKUP(C135, Customers!A:B,2,FALSE)</f>
        <v/>
      </c>
      <c r="E135" s="5" t="str">
        <f>RawData!D135</f>
        <v>P1027</v>
      </c>
      <c r="G135" s="5" t="str">
        <f t="array" ref="G135">XLOOKUP(E135, Products!A:A, Products!C:C)</f>
        <v>Fashion</v>
      </c>
      <c r="H135" s="5">
        <f>RawData!E135</f>
        <v>9</v>
      </c>
      <c r="I135" s="5">
        <f>RawData!F135</f>
        <v>152.99</v>
      </c>
      <c r="J135" s="5">
        <f>RawData!G135</f>
        <v>1376.91</v>
      </c>
      <c r="K135" s="5" t="str">
        <f>RawData!H135</f>
        <v>North</v>
      </c>
      <c r="L135" s="5" t="str">
        <f t="shared" si="1"/>
        <v>Dec</v>
      </c>
    </row>
    <row r="136">
      <c r="A136" s="5" t="str">
        <f>RawData!A136</f>
        <v>ORD-5135</v>
      </c>
      <c r="B136" s="8">
        <f>RawData!B136</f>
        <v>45342</v>
      </c>
      <c r="C136" s="5" t="str">
        <f>RawData!C136</f>
        <v>C2474</v>
      </c>
      <c r="D136" s="5" t="str">
        <f>VLOOKUP(C136, Customers!A:B,2,FALSE)</f>
        <v/>
      </c>
      <c r="E136" s="5" t="str">
        <f>RawData!D136</f>
        <v>P1040</v>
      </c>
      <c r="G136" s="5" t="str">
        <f t="array" ref="G136">XLOOKUP(E136, Products!A:A, Products!C:C)</f>
        <v>Furniture</v>
      </c>
      <c r="H136" s="5">
        <f>RawData!E136</f>
        <v>5</v>
      </c>
      <c r="I136" s="5">
        <f>RawData!F136</f>
        <v>161.81</v>
      </c>
      <c r="J136" s="5">
        <f>RawData!G136</f>
        <v>809.05</v>
      </c>
      <c r="K136" s="5" t="str">
        <f>RawData!H136</f>
        <v>South</v>
      </c>
      <c r="L136" s="5" t="str">
        <f t="shared" si="1"/>
        <v>Feb</v>
      </c>
    </row>
    <row r="137">
      <c r="A137" s="5" t="str">
        <f>RawData!A137</f>
        <v>ORD-5136</v>
      </c>
      <c r="B137" s="8">
        <f>RawData!B137</f>
        <v>45027</v>
      </c>
      <c r="C137" s="5" t="str">
        <f>RawData!C137</f>
        <v>C2241</v>
      </c>
      <c r="D137" s="5" t="str">
        <f>VLOOKUP(C137, Customers!A:B,2,FALSE)</f>
        <v/>
      </c>
      <c r="E137" s="5" t="str">
        <f>RawData!D137</f>
        <v>P1039</v>
      </c>
      <c r="G137" s="5" t="str">
        <f t="array" ref="G137">XLOOKUP(E137, Products!A:A, Products!C:C)</f>
        <v>Electronics</v>
      </c>
      <c r="H137" s="5">
        <f>RawData!E137</f>
        <v>5</v>
      </c>
      <c r="I137" s="5">
        <f>RawData!F137</f>
        <v>52.53</v>
      </c>
      <c r="J137" s="5">
        <f>RawData!G137</f>
        <v>262.65</v>
      </c>
      <c r="K137" s="5" t="str">
        <f>RawData!H137</f>
        <v>North</v>
      </c>
      <c r="L137" s="5" t="str">
        <f t="shared" si="1"/>
        <v>Apr</v>
      </c>
    </row>
    <row r="138">
      <c r="A138" s="5" t="str">
        <f>RawData!A138</f>
        <v>ORD-5137</v>
      </c>
      <c r="B138" s="8">
        <f>RawData!B138</f>
        <v>45688</v>
      </c>
      <c r="C138" s="5" t="str">
        <f>RawData!C138</f>
        <v>C2070</v>
      </c>
      <c r="D138" s="5" t="str">
        <f>VLOOKUP(C138, Customers!A:B,2,FALSE)</f>
        <v/>
      </c>
      <c r="E138" s="5" t="str">
        <f>RawData!D138</f>
        <v>P1019</v>
      </c>
      <c r="G138" s="5" t="str">
        <f t="array" ref="G138">XLOOKUP(E138, Products!A:A, Products!C:C)</f>
        <v>Electronics</v>
      </c>
      <c r="H138" s="5">
        <f>RawData!E138</f>
        <v>1</v>
      </c>
      <c r="I138" s="5">
        <f>RawData!F138</f>
        <v>193.29</v>
      </c>
      <c r="J138" s="5">
        <f>RawData!G138</f>
        <v>193.29</v>
      </c>
      <c r="K138" s="5" t="str">
        <f>RawData!H138</f>
        <v>West</v>
      </c>
      <c r="L138" s="5" t="str">
        <f t="shared" si="1"/>
        <v>Jan</v>
      </c>
    </row>
    <row r="139">
      <c r="A139" s="5" t="str">
        <f>RawData!A139</f>
        <v>ORD-5138</v>
      </c>
      <c r="B139" s="8">
        <f>RawData!B139</f>
        <v>45176</v>
      </c>
      <c r="C139" s="5" t="str">
        <f>RawData!C139</f>
        <v>C2344</v>
      </c>
      <c r="D139" s="5" t="str">
        <f>VLOOKUP(C139, Customers!A:B,2,FALSE)</f>
        <v/>
      </c>
      <c r="E139" s="5" t="str">
        <f>RawData!D139</f>
        <v>P1039</v>
      </c>
      <c r="G139" s="5" t="str">
        <f t="array" ref="G139">XLOOKUP(E139, Products!A:A, Products!C:C)</f>
        <v>Electronics</v>
      </c>
      <c r="H139" s="5">
        <f>RawData!E139</f>
        <v>8</v>
      </c>
      <c r="I139" s="5">
        <f>RawData!F139</f>
        <v>52.53</v>
      </c>
      <c r="J139" s="5">
        <f>RawData!G139</f>
        <v>420.24</v>
      </c>
      <c r="K139" s="5" t="str">
        <f>RawData!H139</f>
        <v>West</v>
      </c>
      <c r="L139" s="5" t="str">
        <f t="shared" si="1"/>
        <v>Sep</v>
      </c>
    </row>
    <row r="140">
      <c r="A140" s="5" t="str">
        <f>RawData!A140</f>
        <v>ORD-5139</v>
      </c>
      <c r="B140" s="8">
        <f>RawData!B140</f>
        <v>45653</v>
      </c>
      <c r="C140" s="5" t="str">
        <f>RawData!C140</f>
        <v>C2472</v>
      </c>
      <c r="D140" s="5" t="str">
        <f>VLOOKUP(C140, Customers!A:B,2,FALSE)</f>
        <v/>
      </c>
      <c r="E140" s="5" t="str">
        <f>RawData!D140</f>
        <v>P1018</v>
      </c>
      <c r="G140" s="5" t="str">
        <f t="array" ref="G140">XLOOKUP(E140, Products!A:A, Products!C:C)</f>
        <v>Electronics</v>
      </c>
      <c r="H140" s="5">
        <f>RawData!E140</f>
        <v>8</v>
      </c>
      <c r="I140" s="5">
        <f>RawData!F140</f>
        <v>131.34</v>
      </c>
      <c r="J140" s="5">
        <f>RawData!G140</f>
        <v>1050.72</v>
      </c>
      <c r="K140" s="5" t="str">
        <f>RawData!H140</f>
        <v>West</v>
      </c>
      <c r="L140" s="5" t="str">
        <f t="shared" si="1"/>
        <v>Dec</v>
      </c>
    </row>
    <row r="141">
      <c r="A141" s="5" t="str">
        <f>RawData!A141</f>
        <v>ORD-5140</v>
      </c>
      <c r="B141" s="8">
        <f>RawData!B141</f>
        <v>44672</v>
      </c>
      <c r="C141" s="5" t="str">
        <f>RawData!C141</f>
        <v>C2043</v>
      </c>
      <c r="D141" s="5" t="str">
        <f>VLOOKUP(C141, Customers!A:B,2,FALSE)</f>
        <v/>
      </c>
      <c r="E141" s="5" t="str">
        <f>RawData!D141</f>
        <v>P1003</v>
      </c>
      <c r="G141" s="5" t="str">
        <f t="array" ref="G141">XLOOKUP(E141, Products!A:A, Products!C:C)</f>
        <v>Electronics</v>
      </c>
      <c r="H141" s="5">
        <f>RawData!E141</f>
        <v>4</v>
      </c>
      <c r="I141" s="5">
        <f>RawData!F141</f>
        <v>187.26</v>
      </c>
      <c r="J141" s="5">
        <f>RawData!G141</f>
        <v>749.04</v>
      </c>
      <c r="K141" s="5" t="str">
        <f>RawData!H141</f>
        <v>North</v>
      </c>
      <c r="L141" s="5" t="str">
        <f t="shared" si="1"/>
        <v>Apr</v>
      </c>
    </row>
    <row r="142">
      <c r="A142" s="5" t="str">
        <f>RawData!A142</f>
        <v>ORD-5141</v>
      </c>
      <c r="B142" s="8">
        <f>RawData!B142</f>
        <v>45870</v>
      </c>
      <c r="C142" s="5" t="str">
        <f>RawData!C142</f>
        <v>C2373</v>
      </c>
      <c r="D142" s="5" t="str">
        <f>VLOOKUP(C142, Customers!A:B,2,FALSE)</f>
        <v/>
      </c>
      <c r="E142" s="5" t="str">
        <f>RawData!D142</f>
        <v>P1050</v>
      </c>
      <c r="G142" s="5" t="str">
        <f t="array" ref="G142">XLOOKUP(E142, Products!A:A, Products!C:C)</f>
        <v>Electronics</v>
      </c>
      <c r="H142" s="5">
        <f>RawData!E142</f>
        <v>8</v>
      </c>
      <c r="I142" s="5">
        <f>RawData!F142</f>
        <v>161.48</v>
      </c>
      <c r="J142" s="5">
        <f>RawData!G142</f>
        <v>1291.84</v>
      </c>
      <c r="K142" s="5" t="str">
        <f>RawData!H142</f>
        <v>West</v>
      </c>
      <c r="L142" s="5" t="str">
        <f t="shared" si="1"/>
        <v>Aug</v>
      </c>
    </row>
    <row r="143">
      <c r="A143" s="5" t="str">
        <f>RawData!A143</f>
        <v>ORD-5142</v>
      </c>
      <c r="B143" s="8">
        <f>RawData!B143</f>
        <v>45069</v>
      </c>
      <c r="C143" s="5" t="str">
        <f>RawData!C143</f>
        <v>C2271</v>
      </c>
      <c r="D143" s="5" t="str">
        <f>VLOOKUP(C143, Customers!A:B,2,FALSE)</f>
        <v/>
      </c>
      <c r="E143" s="5" t="str">
        <f>RawData!D143</f>
        <v>P1045</v>
      </c>
      <c r="G143" s="5" t="str">
        <f t="array" ref="G143">XLOOKUP(E143, Products!A:A, Products!C:C)</f>
        <v>Accessories</v>
      </c>
      <c r="H143" s="5">
        <f>RawData!E143</f>
        <v>7</v>
      </c>
      <c r="I143" s="5">
        <f>RawData!F143</f>
        <v>159.7</v>
      </c>
      <c r="J143" s="5">
        <f>RawData!G143</f>
        <v>1117.9</v>
      </c>
      <c r="K143" s="5" t="str">
        <f>RawData!H143</f>
        <v>South</v>
      </c>
      <c r="L143" s="5" t="str">
        <f t="shared" si="1"/>
        <v>May</v>
      </c>
    </row>
    <row r="144">
      <c r="A144" s="5" t="str">
        <f>RawData!A144</f>
        <v>ORD-5143</v>
      </c>
      <c r="B144" s="8">
        <f>RawData!B144</f>
        <v>45968</v>
      </c>
      <c r="C144" s="5" t="str">
        <f>RawData!C144</f>
        <v>C2024</v>
      </c>
      <c r="D144" s="5" t="str">
        <f>VLOOKUP(C144, Customers!A:B,2,FALSE)</f>
        <v/>
      </c>
      <c r="E144" s="5" t="str">
        <f>RawData!D144</f>
        <v>P1035</v>
      </c>
      <c r="G144" s="5" t="str">
        <f t="array" ref="G144">XLOOKUP(E144, Products!A:A, Products!C:C)</f>
        <v>Home</v>
      </c>
      <c r="H144" s="5">
        <f>RawData!E144</f>
        <v>9</v>
      </c>
      <c r="I144" s="5">
        <f>RawData!F144</f>
        <v>35.91</v>
      </c>
      <c r="J144" s="5">
        <f>RawData!G144</f>
        <v>323.19</v>
      </c>
      <c r="K144" s="5" t="str">
        <f>RawData!H144</f>
        <v>East</v>
      </c>
      <c r="L144" s="5" t="str">
        <f t="shared" si="1"/>
        <v>Nov</v>
      </c>
    </row>
    <row r="145">
      <c r="A145" s="5" t="str">
        <f>RawData!A145</f>
        <v>ORD-5144</v>
      </c>
      <c r="B145" s="8">
        <f>RawData!B145</f>
        <v>45906</v>
      </c>
      <c r="C145" s="5" t="str">
        <f>RawData!C145</f>
        <v>C2174</v>
      </c>
      <c r="D145" s="5" t="str">
        <f>VLOOKUP(C145, Customers!A:B,2,FALSE)</f>
        <v/>
      </c>
      <c r="E145" s="5" t="str">
        <f>RawData!D145</f>
        <v>P1034</v>
      </c>
      <c r="G145" s="5" t="str">
        <f t="array" ref="G145">XLOOKUP(E145, Products!A:A, Products!C:C)</f>
        <v>Electronics</v>
      </c>
      <c r="H145" s="5">
        <f>RawData!E145</f>
        <v>9</v>
      </c>
      <c r="I145" s="5">
        <f>RawData!F145</f>
        <v>191.23</v>
      </c>
      <c r="J145" s="5">
        <f>RawData!G145</f>
        <v>1721.07</v>
      </c>
      <c r="K145" s="5" t="str">
        <f>RawData!H145</f>
        <v>West</v>
      </c>
      <c r="L145" s="5" t="str">
        <f t="shared" si="1"/>
        <v>Sep</v>
      </c>
    </row>
    <row r="146">
      <c r="A146" s="5" t="str">
        <f>RawData!A146</f>
        <v>ORD-5145</v>
      </c>
      <c r="B146" s="8">
        <f>RawData!B146</f>
        <v>44925</v>
      </c>
      <c r="C146" s="5" t="str">
        <f>RawData!C146</f>
        <v>C2361</v>
      </c>
      <c r="D146" s="5" t="str">
        <f>VLOOKUP(C146, Customers!A:B,2,FALSE)</f>
        <v/>
      </c>
      <c r="E146" s="5" t="str">
        <f>RawData!D146</f>
        <v>P1042</v>
      </c>
      <c r="G146" s="5" t="str">
        <f t="array" ref="G146">XLOOKUP(E146, Products!A:A, Products!C:C)</f>
        <v>Electronics</v>
      </c>
      <c r="H146" s="5">
        <f>RawData!E146</f>
        <v>9</v>
      </c>
      <c r="I146" s="5">
        <f>RawData!F146</f>
        <v>90.5</v>
      </c>
      <c r="J146" s="5">
        <f>RawData!G146</f>
        <v>814.5</v>
      </c>
      <c r="K146" s="5" t="str">
        <f>RawData!H146</f>
        <v>South</v>
      </c>
      <c r="L146" s="5" t="str">
        <f t="shared" si="1"/>
        <v>Dec</v>
      </c>
    </row>
    <row r="147">
      <c r="A147" s="5" t="str">
        <f>RawData!A147</f>
        <v>ORD-5146</v>
      </c>
      <c r="B147" s="8">
        <f>RawData!B147</f>
        <v>45198</v>
      </c>
      <c r="C147" s="5" t="str">
        <f>RawData!C147</f>
        <v>C2069</v>
      </c>
      <c r="D147" s="5" t="str">
        <f>VLOOKUP(C147, Customers!A:B,2,FALSE)</f>
        <v/>
      </c>
      <c r="E147" s="5" t="str">
        <f>RawData!D147</f>
        <v>P1036</v>
      </c>
      <c r="G147" s="5" t="str">
        <f t="array" ref="G147">XLOOKUP(E147, Products!A:A, Products!C:C)</f>
        <v>Fashion</v>
      </c>
      <c r="H147" s="5">
        <f>RawData!E147</f>
        <v>8</v>
      </c>
      <c r="I147" s="5">
        <f>RawData!F147</f>
        <v>146.68</v>
      </c>
      <c r="J147" s="5">
        <f>RawData!G147</f>
        <v>1173.44</v>
      </c>
      <c r="K147" s="5" t="str">
        <f>RawData!H147</f>
        <v>East</v>
      </c>
      <c r="L147" s="5" t="str">
        <f t="shared" si="1"/>
        <v>Sep</v>
      </c>
    </row>
    <row r="148">
      <c r="A148" s="5" t="str">
        <f>RawData!A148</f>
        <v>ORD-5147</v>
      </c>
      <c r="B148" s="8">
        <f>RawData!B148</f>
        <v>45450</v>
      </c>
      <c r="C148" s="5" t="str">
        <f>RawData!C148</f>
        <v>C2161</v>
      </c>
      <c r="D148" s="5" t="str">
        <f>VLOOKUP(C148, Customers!A:B,2,FALSE)</f>
        <v/>
      </c>
      <c r="E148" s="5" t="str">
        <f>RawData!D148</f>
        <v>P1020</v>
      </c>
      <c r="G148" s="5" t="str">
        <f t="array" ref="G148">XLOOKUP(E148, Products!A:A, Products!C:C)</f>
        <v>Furniture</v>
      </c>
      <c r="H148" s="5">
        <f>RawData!E148</f>
        <v>2</v>
      </c>
      <c r="I148" s="5">
        <f>RawData!F148</f>
        <v>94.59</v>
      </c>
      <c r="J148" s="5">
        <f>RawData!G148</f>
        <v>189.18</v>
      </c>
      <c r="K148" s="5" t="str">
        <f>RawData!H148</f>
        <v>South</v>
      </c>
      <c r="L148" s="5" t="str">
        <f t="shared" si="1"/>
        <v>Jun</v>
      </c>
    </row>
    <row r="149">
      <c r="A149" s="5" t="str">
        <f>RawData!A149</f>
        <v>ORD-5148</v>
      </c>
      <c r="B149" s="8">
        <f>RawData!B149</f>
        <v>44686</v>
      </c>
      <c r="C149" s="5" t="str">
        <f>RawData!C149</f>
        <v>C2043</v>
      </c>
      <c r="D149" s="5" t="str">
        <f>VLOOKUP(C149, Customers!A:B,2,FALSE)</f>
        <v/>
      </c>
      <c r="E149" s="5" t="str">
        <f>RawData!D149</f>
        <v>P1021</v>
      </c>
      <c r="G149" s="5" t="str">
        <f t="array" ref="G149">XLOOKUP(E149, Products!A:A, Products!C:C)</f>
        <v>Electronics</v>
      </c>
      <c r="H149" s="5">
        <f>RawData!E149</f>
        <v>8</v>
      </c>
      <c r="I149" s="5">
        <f>RawData!F149</f>
        <v>140.72</v>
      </c>
      <c r="J149" s="5">
        <f>RawData!G149</f>
        <v>1125.76</v>
      </c>
      <c r="K149" s="5" t="str">
        <f>RawData!H149</f>
        <v>South</v>
      </c>
      <c r="L149" s="5" t="str">
        <f t="shared" si="1"/>
        <v>May</v>
      </c>
    </row>
    <row r="150">
      <c r="A150" s="5" t="str">
        <f>RawData!A150</f>
        <v>ORD-5149</v>
      </c>
      <c r="B150" s="8">
        <f>RawData!B150</f>
        <v>45928</v>
      </c>
      <c r="C150" s="5" t="str">
        <f>RawData!C150</f>
        <v>C2125</v>
      </c>
      <c r="D150" s="5" t="str">
        <f>VLOOKUP(C150, Customers!A:B,2,FALSE)</f>
        <v/>
      </c>
      <c r="E150" s="5" t="str">
        <f>RawData!D150</f>
        <v>P1001</v>
      </c>
      <c r="G150" s="5" t="str">
        <f t="array" ref="G150">XLOOKUP(E150, Products!A:A, Products!C:C)</f>
        <v>Electronics</v>
      </c>
      <c r="H150" s="5">
        <f>RawData!E150</f>
        <v>4</v>
      </c>
      <c r="I150" s="5">
        <f>RawData!F150</f>
        <v>144.69</v>
      </c>
      <c r="J150" s="5">
        <f>RawData!G150</f>
        <v>578.76</v>
      </c>
      <c r="K150" s="5" t="str">
        <f>RawData!H150</f>
        <v>East</v>
      </c>
      <c r="L150" s="5" t="str">
        <f t="shared" si="1"/>
        <v>Sep</v>
      </c>
    </row>
    <row r="151">
      <c r="A151" s="5" t="str">
        <f>RawData!A151</f>
        <v>ORD-5150</v>
      </c>
      <c r="B151" s="8">
        <f>RawData!B151</f>
        <v>45948</v>
      </c>
      <c r="C151" s="5" t="str">
        <f>RawData!C151</f>
        <v>C2335</v>
      </c>
      <c r="D151" s="5" t="str">
        <f>VLOOKUP(C151, Customers!A:B,2,FALSE)</f>
        <v/>
      </c>
      <c r="E151" s="5" t="str">
        <f>RawData!D151</f>
        <v>P1036</v>
      </c>
      <c r="G151" s="5" t="str">
        <f t="array" ref="G151">XLOOKUP(E151, Products!A:A, Products!C:C)</f>
        <v>Fashion</v>
      </c>
      <c r="H151" s="5">
        <f>RawData!E151</f>
        <v>8</v>
      </c>
      <c r="I151" s="5">
        <f>RawData!F151</f>
        <v>146.68</v>
      </c>
      <c r="J151" s="5">
        <f>RawData!G151</f>
        <v>1173.44</v>
      </c>
      <c r="K151" s="5" t="str">
        <f>RawData!H151</f>
        <v>South</v>
      </c>
      <c r="L151" s="5" t="str">
        <f t="shared" si="1"/>
        <v>Oct</v>
      </c>
    </row>
    <row r="152">
      <c r="A152" s="5" t="str">
        <f>RawData!A152</f>
        <v>ORD-5151</v>
      </c>
      <c r="B152" s="8">
        <f>RawData!B152</f>
        <v>44998</v>
      </c>
      <c r="C152" s="5" t="str">
        <f>RawData!C152</f>
        <v>C2125</v>
      </c>
      <c r="D152" s="5" t="str">
        <f>VLOOKUP(C152, Customers!A:B,2,FALSE)</f>
        <v/>
      </c>
      <c r="E152" s="5" t="str">
        <f>RawData!D152</f>
        <v>P1036</v>
      </c>
      <c r="G152" s="5" t="str">
        <f t="array" ref="G152">XLOOKUP(E152, Products!A:A, Products!C:C)</f>
        <v>Fashion</v>
      </c>
      <c r="H152" s="5">
        <f>RawData!E152</f>
        <v>9</v>
      </c>
      <c r="I152" s="5">
        <f>RawData!F152</f>
        <v>146.68</v>
      </c>
      <c r="J152" s="5">
        <f>RawData!G152</f>
        <v>1320.12</v>
      </c>
      <c r="K152" s="5" t="str">
        <f>RawData!H152</f>
        <v>South</v>
      </c>
      <c r="L152" s="5" t="str">
        <f t="shared" si="1"/>
        <v>Mar</v>
      </c>
    </row>
    <row r="153">
      <c r="A153" s="5" t="str">
        <f>RawData!A153</f>
        <v>ORD-5152</v>
      </c>
      <c r="B153" s="8">
        <f>RawData!B153</f>
        <v>44610</v>
      </c>
      <c r="C153" s="5" t="str">
        <f>RawData!C153</f>
        <v>C2094</v>
      </c>
      <c r="D153" s="5" t="str">
        <f>VLOOKUP(C153, Customers!A:B,2,FALSE)</f>
        <v/>
      </c>
      <c r="E153" s="5" t="str">
        <f>RawData!D153</f>
        <v>P1017</v>
      </c>
      <c r="G153" s="5" t="str">
        <f t="array" ref="G153">XLOOKUP(E153, Products!A:A, Products!C:C)</f>
        <v>Furniture</v>
      </c>
      <c r="H153" s="5">
        <f>RawData!E153</f>
        <v>3</v>
      </c>
      <c r="I153" s="5">
        <f>RawData!F153</f>
        <v>43.15</v>
      </c>
      <c r="J153" s="5">
        <f>RawData!G153</f>
        <v>129.45</v>
      </c>
      <c r="K153" s="5" t="str">
        <f>RawData!H153</f>
        <v>South</v>
      </c>
      <c r="L153" s="5" t="str">
        <f t="shared" si="1"/>
        <v>Feb</v>
      </c>
    </row>
    <row r="154">
      <c r="A154" s="5" t="str">
        <f>RawData!A154</f>
        <v>ORD-5153</v>
      </c>
      <c r="B154" s="8">
        <f>RawData!B154</f>
        <v>45117</v>
      </c>
      <c r="C154" s="5" t="str">
        <f>RawData!C154</f>
        <v>C2087</v>
      </c>
      <c r="D154" s="5" t="str">
        <f>VLOOKUP(C154, Customers!A:B,2,FALSE)</f>
        <v>Alexander Scott</v>
      </c>
      <c r="E154" s="5" t="str">
        <f>RawData!D154</f>
        <v>P1031</v>
      </c>
      <c r="G154" s="5" t="str">
        <f t="array" ref="G154">XLOOKUP(E154, Products!A:A, Products!C:C)</f>
        <v>Furniture</v>
      </c>
      <c r="H154" s="5">
        <f>RawData!E154</f>
        <v>2</v>
      </c>
      <c r="I154" s="5">
        <f>RawData!F154</f>
        <v>44.18</v>
      </c>
      <c r="J154" s="5">
        <f>RawData!G154</f>
        <v>88.36</v>
      </c>
      <c r="K154" s="5" t="str">
        <f>RawData!H154</f>
        <v>South</v>
      </c>
      <c r="L154" s="5" t="str">
        <f t="shared" si="1"/>
        <v>Jul</v>
      </c>
    </row>
    <row r="155">
      <c r="A155" s="5" t="str">
        <f>RawData!A155</f>
        <v>ORD-5154</v>
      </c>
      <c r="B155" s="8">
        <f>RawData!B155</f>
        <v>44644</v>
      </c>
      <c r="C155" s="5" t="str">
        <f>RawData!C155</f>
        <v>C2498</v>
      </c>
      <c r="D155" s="5" t="str">
        <f>VLOOKUP(C155, Customers!A:B,2,FALSE)</f>
        <v/>
      </c>
      <c r="E155" s="5" t="str">
        <f>RawData!D155</f>
        <v>P1043</v>
      </c>
      <c r="G155" s="5" t="str">
        <f t="array" ref="G155">XLOOKUP(E155, Products!A:A, Products!C:C)</f>
        <v>Fashion</v>
      </c>
      <c r="H155" s="5">
        <f>RawData!E155</f>
        <v>10</v>
      </c>
      <c r="I155" s="5">
        <f>RawData!F155</f>
        <v>183.75</v>
      </c>
      <c r="J155" s="5">
        <f>RawData!G155</f>
        <v>1837.5</v>
      </c>
      <c r="K155" s="5" t="str">
        <f>RawData!H155</f>
        <v>West</v>
      </c>
      <c r="L155" s="5" t="str">
        <f t="shared" si="1"/>
        <v>Mar</v>
      </c>
    </row>
    <row r="156">
      <c r="A156" s="5" t="str">
        <f>RawData!A156</f>
        <v>ORD-5155</v>
      </c>
      <c r="B156" s="8">
        <f>RawData!B156</f>
        <v>45338</v>
      </c>
      <c r="C156" s="5" t="str">
        <f>RawData!C156</f>
        <v>C2298</v>
      </c>
      <c r="D156" s="5" t="str">
        <f>VLOOKUP(C156, Customers!A:B,2,FALSE)</f>
        <v/>
      </c>
      <c r="E156" s="5" t="str">
        <f>RawData!D156</f>
        <v>P1050</v>
      </c>
      <c r="G156" s="5" t="str">
        <f t="array" ref="G156">XLOOKUP(E156, Products!A:A, Products!C:C)</f>
        <v>Electronics</v>
      </c>
      <c r="H156" s="5">
        <f>RawData!E156</f>
        <v>2</v>
      </c>
      <c r="I156" s="5">
        <f>RawData!F156</f>
        <v>161.48</v>
      </c>
      <c r="J156" s="5">
        <f>RawData!G156</f>
        <v>322.96</v>
      </c>
      <c r="K156" s="5" t="str">
        <f>RawData!H156</f>
        <v>North</v>
      </c>
      <c r="L156" s="5" t="str">
        <f t="shared" si="1"/>
        <v>Feb</v>
      </c>
    </row>
    <row r="157">
      <c r="A157" s="5" t="str">
        <f>RawData!A157</f>
        <v>ORD-5156</v>
      </c>
      <c r="B157" s="8">
        <f>RawData!B157</f>
        <v>45531</v>
      </c>
      <c r="C157" s="5" t="str">
        <f>RawData!C157</f>
        <v>C2103</v>
      </c>
      <c r="D157" s="5" t="str">
        <f>VLOOKUP(C157, Customers!A:B,2,FALSE)</f>
        <v/>
      </c>
      <c r="E157" s="5" t="str">
        <f>RawData!D157</f>
        <v>P1002</v>
      </c>
      <c r="G157" s="5" t="str">
        <f t="array" ref="G157">XLOOKUP(E157, Products!A:A, Products!C:C)</f>
        <v>Furniture</v>
      </c>
      <c r="H157" s="5">
        <f>RawData!E157</f>
        <v>1</v>
      </c>
      <c r="I157" s="5">
        <f>RawData!F157</f>
        <v>109.31</v>
      </c>
      <c r="J157" s="5">
        <f>RawData!G157</f>
        <v>109.31</v>
      </c>
      <c r="K157" s="5" t="str">
        <f>RawData!H157</f>
        <v>North</v>
      </c>
      <c r="L157" s="5" t="str">
        <f t="shared" si="1"/>
        <v>Aug</v>
      </c>
    </row>
    <row r="158">
      <c r="A158" s="5" t="str">
        <f>RawData!A158</f>
        <v>ORD-5157</v>
      </c>
      <c r="B158" s="8">
        <f>RawData!B158</f>
        <v>45722</v>
      </c>
      <c r="C158" s="5" t="str">
        <f>RawData!C158</f>
        <v>C2208</v>
      </c>
      <c r="D158" s="5" t="str">
        <f>VLOOKUP(C158, Customers!A:B,2,FALSE)</f>
        <v/>
      </c>
      <c r="E158" s="5" t="str">
        <f>RawData!D158</f>
        <v>P1001</v>
      </c>
      <c r="G158" s="5" t="str">
        <f t="array" ref="G158">XLOOKUP(E158, Products!A:A, Products!C:C)</f>
        <v>Electronics</v>
      </c>
      <c r="H158" s="5">
        <f>RawData!E158</f>
        <v>9</v>
      </c>
      <c r="I158" s="5">
        <f>RawData!F158</f>
        <v>144.69</v>
      </c>
      <c r="J158" s="5">
        <f>RawData!G158</f>
        <v>1302.21</v>
      </c>
      <c r="K158" s="5" t="str">
        <f>RawData!H158</f>
        <v>North</v>
      </c>
      <c r="L158" s="5" t="str">
        <f t="shared" si="1"/>
        <v>Mar</v>
      </c>
    </row>
    <row r="159">
      <c r="A159" s="5" t="str">
        <f>RawData!A159</f>
        <v>ORD-5158</v>
      </c>
      <c r="B159" s="8">
        <f>RawData!B159</f>
        <v>44994</v>
      </c>
      <c r="C159" s="5" t="str">
        <f>RawData!C159</f>
        <v>C2055</v>
      </c>
      <c r="D159" s="5" t="str">
        <f>VLOOKUP(C159, Customers!A:B,2,FALSE)</f>
        <v/>
      </c>
      <c r="E159" s="5" t="str">
        <f>RawData!D159</f>
        <v>P1031</v>
      </c>
      <c r="G159" s="5" t="str">
        <f t="array" ref="G159">XLOOKUP(E159, Products!A:A, Products!C:C)</f>
        <v>Furniture</v>
      </c>
      <c r="H159" s="5">
        <f>RawData!E159</f>
        <v>9</v>
      </c>
      <c r="I159" s="5">
        <f>RawData!F159</f>
        <v>44.18</v>
      </c>
      <c r="J159" s="5">
        <f>RawData!G159</f>
        <v>397.62</v>
      </c>
      <c r="K159" s="5" t="str">
        <f>RawData!H159</f>
        <v>North</v>
      </c>
      <c r="L159" s="5" t="str">
        <f t="shared" si="1"/>
        <v>Mar</v>
      </c>
    </row>
    <row r="160">
      <c r="A160" s="5" t="str">
        <f>RawData!A160</f>
        <v>ORD-5159</v>
      </c>
      <c r="B160" s="8">
        <f>RawData!B160</f>
        <v>45641</v>
      </c>
      <c r="C160" s="5" t="str">
        <f>RawData!C160</f>
        <v>C2342</v>
      </c>
      <c r="D160" s="5" t="str">
        <f>VLOOKUP(C160, Customers!A:B,2,FALSE)</f>
        <v/>
      </c>
      <c r="E160" s="5" t="str">
        <f>RawData!D160</f>
        <v>P1002</v>
      </c>
      <c r="G160" s="5" t="str">
        <f t="array" ref="G160">XLOOKUP(E160, Products!A:A, Products!C:C)</f>
        <v>Furniture</v>
      </c>
      <c r="H160" s="5">
        <f>RawData!E160</f>
        <v>1</v>
      </c>
      <c r="I160" s="5">
        <f>RawData!F160</f>
        <v>109.31</v>
      </c>
      <c r="J160" s="5">
        <f>RawData!G160</f>
        <v>109.31</v>
      </c>
      <c r="K160" s="5" t="str">
        <f>RawData!H160</f>
        <v>West</v>
      </c>
      <c r="L160" s="5" t="str">
        <f t="shared" si="1"/>
        <v>Dec</v>
      </c>
    </row>
    <row r="161">
      <c r="A161" s="5" t="str">
        <f>RawData!A161</f>
        <v>ORD-5160</v>
      </c>
      <c r="B161" s="8">
        <f>RawData!B161</f>
        <v>44762</v>
      </c>
      <c r="C161" s="5" t="str">
        <f>RawData!C161</f>
        <v>C2109</v>
      </c>
      <c r="D161" s="5" t="str">
        <f>VLOOKUP(C161, Customers!A:B,2,FALSE)</f>
        <v/>
      </c>
      <c r="E161" s="5" t="str">
        <f>RawData!D161</f>
        <v>P1008</v>
      </c>
      <c r="G161" s="5" t="str">
        <f t="array" ref="G161">XLOOKUP(E161, Products!A:A, Products!C:C)</f>
        <v>Accessories</v>
      </c>
      <c r="H161" s="5">
        <f>RawData!E161</f>
        <v>6</v>
      </c>
      <c r="I161" s="5">
        <f>RawData!F161</f>
        <v>190.65</v>
      </c>
      <c r="J161" s="5">
        <f>RawData!G161</f>
        <v>1143.9</v>
      </c>
      <c r="K161" s="5" t="str">
        <f>RawData!H161</f>
        <v>East</v>
      </c>
      <c r="L161" s="5" t="str">
        <f t="shared" si="1"/>
        <v>Jul</v>
      </c>
    </row>
    <row r="162">
      <c r="A162" s="5" t="str">
        <f>RawData!A162</f>
        <v>ORD-5161</v>
      </c>
      <c r="B162" s="8">
        <f>RawData!B162</f>
        <v>45918</v>
      </c>
      <c r="C162" s="5" t="str">
        <f>RawData!C162</f>
        <v>C2022</v>
      </c>
      <c r="D162" s="5" t="str">
        <f>VLOOKUP(C162, Customers!A:B,2,FALSE)</f>
        <v/>
      </c>
      <c r="E162" s="5" t="str">
        <f>RawData!D162</f>
        <v>P1039</v>
      </c>
      <c r="G162" s="5" t="str">
        <f t="array" ref="G162">XLOOKUP(E162, Products!A:A, Products!C:C)</f>
        <v>Electronics</v>
      </c>
      <c r="H162" s="5">
        <f>RawData!E162</f>
        <v>3</v>
      </c>
      <c r="I162" s="5">
        <f>RawData!F162</f>
        <v>52.53</v>
      </c>
      <c r="J162" s="5">
        <f>RawData!G162</f>
        <v>157.59</v>
      </c>
      <c r="K162" s="5" t="str">
        <f>RawData!H162</f>
        <v>West</v>
      </c>
      <c r="L162" s="5" t="str">
        <f t="shared" si="1"/>
        <v>Sep</v>
      </c>
    </row>
    <row r="163">
      <c r="A163" s="5" t="str">
        <f>RawData!A163</f>
        <v>ORD-5162</v>
      </c>
      <c r="B163" s="8">
        <f>RawData!B163</f>
        <v>45627</v>
      </c>
      <c r="C163" s="5" t="str">
        <f>RawData!C163</f>
        <v>C2186</v>
      </c>
      <c r="D163" s="5" t="str">
        <f>VLOOKUP(C163, Customers!A:B,2,FALSE)</f>
        <v/>
      </c>
      <c r="E163" s="5" t="str">
        <f>RawData!D163</f>
        <v>P1010</v>
      </c>
      <c r="G163" s="5" t="str">
        <f t="array" ref="G163">XLOOKUP(E163, Products!A:A, Products!C:C)</f>
        <v>Electronics</v>
      </c>
      <c r="H163" s="5">
        <f>RawData!E163</f>
        <v>5</v>
      </c>
      <c r="I163" s="5">
        <f>RawData!F163</f>
        <v>75.41</v>
      </c>
      <c r="J163" s="5">
        <f>RawData!G163</f>
        <v>377.05</v>
      </c>
      <c r="K163" s="5" t="str">
        <f>RawData!H163</f>
        <v>West</v>
      </c>
      <c r="L163" s="5" t="str">
        <f t="shared" si="1"/>
        <v>Dec</v>
      </c>
    </row>
    <row r="164">
      <c r="A164" s="5" t="str">
        <f>RawData!A164</f>
        <v>ORD-5163</v>
      </c>
      <c r="B164" s="8">
        <f>RawData!B164</f>
        <v>44897</v>
      </c>
      <c r="C164" s="5" t="str">
        <f>RawData!C164</f>
        <v>C2238</v>
      </c>
      <c r="D164" s="5" t="str">
        <f>VLOOKUP(C164, Customers!A:B,2,FALSE)</f>
        <v/>
      </c>
      <c r="E164" s="5" t="str">
        <f>RawData!D164</f>
        <v>P1046</v>
      </c>
      <c r="G164" s="5" t="str">
        <f t="array" ref="G164">XLOOKUP(E164, Products!A:A, Products!C:C)</f>
        <v>Electronics</v>
      </c>
      <c r="H164" s="5">
        <f>RawData!E164</f>
        <v>1</v>
      </c>
      <c r="I164" s="5">
        <f>RawData!F164</f>
        <v>83.01</v>
      </c>
      <c r="J164" s="5">
        <f>RawData!G164</f>
        <v>83.01</v>
      </c>
      <c r="K164" s="5" t="str">
        <f>RawData!H164</f>
        <v>South</v>
      </c>
      <c r="L164" s="5" t="str">
        <f t="shared" si="1"/>
        <v>Dec</v>
      </c>
    </row>
    <row r="165">
      <c r="A165" s="5" t="str">
        <f>RawData!A165</f>
        <v>ORD-5164</v>
      </c>
      <c r="B165" s="8">
        <f>RawData!B165</f>
        <v>45653</v>
      </c>
      <c r="C165" s="5" t="str">
        <f>RawData!C165</f>
        <v>C2187</v>
      </c>
      <c r="D165" s="5" t="str">
        <f>VLOOKUP(C165, Customers!A:B,2,FALSE)</f>
        <v/>
      </c>
      <c r="E165" s="5" t="str">
        <f>RawData!D165</f>
        <v>P1019</v>
      </c>
      <c r="G165" s="5" t="str">
        <f t="array" ref="G165">XLOOKUP(E165, Products!A:A, Products!C:C)</f>
        <v>Electronics</v>
      </c>
      <c r="H165" s="5">
        <f>RawData!E165</f>
        <v>4</v>
      </c>
      <c r="I165" s="5">
        <f>RawData!F165</f>
        <v>193.29</v>
      </c>
      <c r="J165" s="5">
        <f>RawData!G165</f>
        <v>773.16</v>
      </c>
      <c r="K165" s="5" t="str">
        <f>RawData!H165</f>
        <v>East</v>
      </c>
      <c r="L165" s="5" t="str">
        <f t="shared" si="1"/>
        <v>Dec</v>
      </c>
    </row>
    <row r="166">
      <c r="A166" s="5" t="str">
        <f>RawData!A166</f>
        <v>ORD-5165</v>
      </c>
      <c r="B166" s="8">
        <f>RawData!B166</f>
        <v>46024</v>
      </c>
      <c r="C166" s="5" t="str">
        <f>RawData!C166</f>
        <v>C2145</v>
      </c>
      <c r="D166" s="5" t="str">
        <f>VLOOKUP(C166, Customers!A:B,2,FALSE)</f>
        <v/>
      </c>
      <c r="E166" s="5" t="str">
        <f>RawData!D166</f>
        <v>P1023</v>
      </c>
      <c r="G166" s="5" t="str">
        <f t="array" ref="G166">XLOOKUP(E166, Products!A:A, Products!C:C)</f>
        <v>Fashion</v>
      </c>
      <c r="H166" s="5">
        <f>RawData!E166</f>
        <v>5</v>
      </c>
      <c r="I166" s="5">
        <f>RawData!F166</f>
        <v>70.71</v>
      </c>
      <c r="J166" s="5">
        <f>RawData!G166</f>
        <v>353.55</v>
      </c>
      <c r="K166" s="5" t="str">
        <f>RawData!H166</f>
        <v>West</v>
      </c>
      <c r="L166" s="5" t="str">
        <f t="shared" si="1"/>
        <v>Jan</v>
      </c>
    </row>
    <row r="167">
      <c r="A167" s="5" t="str">
        <f>RawData!A167</f>
        <v>ORD-5166</v>
      </c>
      <c r="B167" s="8">
        <f>RawData!B167</f>
        <v>44689</v>
      </c>
      <c r="C167" s="5" t="str">
        <f>RawData!C167</f>
        <v>C2455</v>
      </c>
      <c r="D167" s="5" t="str">
        <f>VLOOKUP(C167, Customers!A:B,2,FALSE)</f>
        <v>Ethan Ward</v>
      </c>
      <c r="E167" s="5" t="str">
        <f>RawData!D167</f>
        <v>P1047</v>
      </c>
      <c r="G167" s="5" t="str">
        <f t="array" ref="G167">XLOOKUP(E167, Products!A:A, Products!C:C)</f>
        <v>Electronics</v>
      </c>
      <c r="H167" s="5">
        <f>RawData!E167</f>
        <v>4</v>
      </c>
      <c r="I167" s="5">
        <f>RawData!F167</f>
        <v>73.45</v>
      </c>
      <c r="J167" s="5">
        <f>RawData!G167</f>
        <v>293.8</v>
      </c>
      <c r="K167" s="5" t="str">
        <f>RawData!H167</f>
        <v>East</v>
      </c>
      <c r="L167" s="5" t="str">
        <f t="shared" si="1"/>
        <v>May</v>
      </c>
    </row>
    <row r="168">
      <c r="A168" s="5" t="str">
        <f>RawData!A168</f>
        <v>ORD-5167</v>
      </c>
      <c r="B168" s="8">
        <f>RawData!B168</f>
        <v>44981</v>
      </c>
      <c r="C168" s="5" t="str">
        <f>RawData!C168</f>
        <v>C2309</v>
      </c>
      <c r="D168" s="5" t="str">
        <f>VLOOKUP(C168, Customers!A:B,2,FALSE)</f>
        <v/>
      </c>
      <c r="E168" s="5" t="str">
        <f>RawData!D168</f>
        <v>P1029</v>
      </c>
      <c r="G168" s="5" t="str">
        <f t="array" ref="G168">XLOOKUP(E168, Products!A:A, Products!C:C)</f>
        <v>Furniture</v>
      </c>
      <c r="H168" s="5">
        <f>RawData!E168</f>
        <v>5</v>
      </c>
      <c r="I168" s="5">
        <f>RawData!F168</f>
        <v>104.81</v>
      </c>
      <c r="J168" s="5">
        <f>RawData!G168</f>
        <v>524.05</v>
      </c>
      <c r="K168" s="5" t="str">
        <f>RawData!H168</f>
        <v>East</v>
      </c>
      <c r="L168" s="5" t="str">
        <f t="shared" si="1"/>
        <v>Feb</v>
      </c>
    </row>
    <row r="169">
      <c r="A169" s="5" t="str">
        <f>RawData!A169</f>
        <v>ORD-5168</v>
      </c>
      <c r="B169" s="8">
        <f>RawData!B169</f>
        <v>45357</v>
      </c>
      <c r="C169" s="5" t="str">
        <f>RawData!C169</f>
        <v>C2022</v>
      </c>
      <c r="D169" s="5" t="str">
        <f>VLOOKUP(C169, Customers!A:B,2,FALSE)</f>
        <v/>
      </c>
      <c r="E169" s="5" t="str">
        <f>RawData!D169</f>
        <v>P1006</v>
      </c>
      <c r="G169" s="5" t="str">
        <f t="array" ref="G169">XLOOKUP(E169, Products!A:A, Products!C:C)</f>
        <v>Electronics</v>
      </c>
      <c r="H169" s="5">
        <f>RawData!E169</f>
        <v>1</v>
      </c>
      <c r="I169" s="5">
        <f>RawData!F169</f>
        <v>143.58</v>
      </c>
      <c r="J169" s="5">
        <f>RawData!G169</f>
        <v>143.58</v>
      </c>
      <c r="K169" s="5" t="str">
        <f>RawData!H169</f>
        <v>West</v>
      </c>
      <c r="L169" s="5" t="str">
        <f t="shared" si="1"/>
        <v>Mar</v>
      </c>
    </row>
    <row r="170">
      <c r="A170" s="5" t="str">
        <f>RawData!A170</f>
        <v>ORD-5169</v>
      </c>
      <c r="B170" s="8">
        <f>RawData!B170</f>
        <v>45024</v>
      </c>
      <c r="C170" s="5" t="str">
        <f>RawData!C170</f>
        <v>C2169</v>
      </c>
      <c r="D170" s="5" t="str">
        <f>VLOOKUP(C170, Customers!A:B,2,FALSE)</f>
        <v/>
      </c>
      <c r="E170" s="5" t="str">
        <f>RawData!D170</f>
        <v>P1049</v>
      </c>
      <c r="G170" s="5" t="str">
        <f t="array" ref="G170">XLOOKUP(E170, Products!A:A, Products!C:C)</f>
        <v>Accessories</v>
      </c>
      <c r="H170" s="5">
        <f>RawData!E170</f>
        <v>2</v>
      </c>
      <c r="I170" s="5">
        <f>RawData!F170</f>
        <v>62.86</v>
      </c>
      <c r="J170" s="5">
        <f>RawData!G170</f>
        <v>125.72</v>
      </c>
      <c r="K170" s="5" t="str">
        <f>RawData!H170</f>
        <v>East</v>
      </c>
      <c r="L170" s="5" t="str">
        <f t="shared" si="1"/>
        <v>Apr</v>
      </c>
    </row>
    <row r="171">
      <c r="A171" s="5" t="str">
        <f>RawData!A171</f>
        <v>ORD-5170</v>
      </c>
      <c r="B171" s="8">
        <f>RawData!B171</f>
        <v>45088</v>
      </c>
      <c r="C171" s="5" t="str">
        <f>RawData!C171</f>
        <v>C2102</v>
      </c>
      <c r="D171" s="5" t="str">
        <f>VLOOKUP(C171, Customers!A:B,2,FALSE)</f>
        <v/>
      </c>
      <c r="E171" s="5" t="str">
        <f>RawData!D171</f>
        <v>P1044</v>
      </c>
      <c r="G171" s="5" t="str">
        <f t="array" ref="G171">XLOOKUP(E171, Products!A:A, Products!C:C)</f>
        <v>Fashion</v>
      </c>
      <c r="H171" s="5">
        <f>RawData!E171</f>
        <v>8</v>
      </c>
      <c r="I171" s="5">
        <f>RawData!F171</f>
        <v>138.68</v>
      </c>
      <c r="J171" s="5">
        <f>RawData!G171</f>
        <v>1109.44</v>
      </c>
      <c r="K171" s="5" t="str">
        <f>RawData!H171</f>
        <v>East</v>
      </c>
      <c r="L171" s="5" t="str">
        <f t="shared" si="1"/>
        <v>Jun</v>
      </c>
    </row>
    <row r="172">
      <c r="A172" s="5" t="str">
        <f>RawData!A172</f>
        <v>ORD-5171</v>
      </c>
      <c r="B172" s="8">
        <f>RawData!B172</f>
        <v>45167</v>
      </c>
      <c r="C172" s="5" t="str">
        <f>RawData!C172</f>
        <v>C2058</v>
      </c>
      <c r="D172" s="5" t="str">
        <f>VLOOKUP(C172, Customers!A:B,2,FALSE)</f>
        <v/>
      </c>
      <c r="E172" s="5" t="str">
        <f>RawData!D172</f>
        <v>P1003</v>
      </c>
      <c r="G172" s="5" t="str">
        <f t="array" ref="G172">XLOOKUP(E172, Products!A:A, Products!C:C)</f>
        <v>Electronics</v>
      </c>
      <c r="H172" s="5">
        <f>RawData!E172</f>
        <v>4</v>
      </c>
      <c r="I172" s="5">
        <f>RawData!F172</f>
        <v>187.26</v>
      </c>
      <c r="J172" s="5">
        <f>RawData!G172</f>
        <v>749.04</v>
      </c>
      <c r="K172" s="5" t="str">
        <f>RawData!H172</f>
        <v>North</v>
      </c>
      <c r="L172" s="5" t="str">
        <f t="shared" si="1"/>
        <v>Aug</v>
      </c>
    </row>
    <row r="173">
      <c r="A173" s="5" t="str">
        <f>RawData!A173</f>
        <v>ORD-5172</v>
      </c>
      <c r="B173" s="8">
        <f>RawData!B173</f>
        <v>44672</v>
      </c>
      <c r="C173" s="5" t="str">
        <f>RawData!C173</f>
        <v>C2057</v>
      </c>
      <c r="D173" s="5" t="str">
        <f>VLOOKUP(C173, Customers!A:B,2,FALSE)</f>
        <v/>
      </c>
      <c r="E173" s="5" t="str">
        <f>RawData!D173</f>
        <v>P1017</v>
      </c>
      <c r="G173" s="5" t="str">
        <f t="array" ref="G173">XLOOKUP(E173, Products!A:A, Products!C:C)</f>
        <v>Furniture</v>
      </c>
      <c r="H173" s="5">
        <f>RawData!E173</f>
        <v>8</v>
      </c>
      <c r="I173" s="5">
        <f>RawData!F173</f>
        <v>43.15</v>
      </c>
      <c r="J173" s="5">
        <f>RawData!G173</f>
        <v>345.2</v>
      </c>
      <c r="K173" s="5" t="str">
        <f>RawData!H173</f>
        <v>West</v>
      </c>
      <c r="L173" s="5" t="str">
        <f t="shared" si="1"/>
        <v>Apr</v>
      </c>
    </row>
    <row r="174">
      <c r="A174" s="5" t="str">
        <f>RawData!A174</f>
        <v>ORD-5173</v>
      </c>
      <c r="B174" s="8">
        <f>RawData!B174</f>
        <v>45929</v>
      </c>
      <c r="C174" s="5" t="str">
        <f>RawData!C174</f>
        <v>C2043</v>
      </c>
      <c r="D174" s="5" t="str">
        <f>VLOOKUP(C174, Customers!A:B,2,FALSE)</f>
        <v/>
      </c>
      <c r="E174" s="5" t="str">
        <f>RawData!D174</f>
        <v>P1003</v>
      </c>
      <c r="G174" s="5" t="str">
        <f t="array" ref="G174">XLOOKUP(E174, Products!A:A, Products!C:C)</f>
        <v>Electronics</v>
      </c>
      <c r="H174" s="5">
        <f>RawData!E174</f>
        <v>8</v>
      </c>
      <c r="I174" s="5">
        <f>RawData!F174</f>
        <v>187.26</v>
      </c>
      <c r="J174" s="5">
        <f>RawData!G174</f>
        <v>1498.08</v>
      </c>
      <c r="K174" s="5" t="str">
        <f>RawData!H174</f>
        <v>South</v>
      </c>
      <c r="L174" s="5" t="str">
        <f t="shared" si="1"/>
        <v>Sep</v>
      </c>
    </row>
    <row r="175">
      <c r="A175" s="5" t="str">
        <f>RawData!A175</f>
        <v>ORD-5174</v>
      </c>
      <c r="B175" s="8">
        <f>RawData!B175</f>
        <v>45160</v>
      </c>
      <c r="C175" s="5" t="str">
        <f>RawData!C175</f>
        <v>C2192</v>
      </c>
      <c r="D175" s="5" t="str">
        <f>VLOOKUP(C175, Customers!A:B,2,FALSE)</f>
        <v/>
      </c>
      <c r="E175" s="5" t="str">
        <f>RawData!D175</f>
        <v>P1030</v>
      </c>
      <c r="G175" s="5" t="str">
        <f t="array" ref="G175">XLOOKUP(E175, Products!A:A, Products!C:C)</f>
        <v>Electronics</v>
      </c>
      <c r="H175" s="5">
        <f>RawData!E175</f>
        <v>10</v>
      </c>
      <c r="I175" s="5">
        <f>RawData!F175</f>
        <v>100.65</v>
      </c>
      <c r="J175" s="5">
        <f>RawData!G175</f>
        <v>1006.5</v>
      </c>
      <c r="K175" s="5" t="str">
        <f>RawData!H175</f>
        <v>North</v>
      </c>
      <c r="L175" s="5" t="str">
        <f t="shared" si="1"/>
        <v>Aug</v>
      </c>
    </row>
    <row r="176">
      <c r="A176" s="5" t="str">
        <f>RawData!A176</f>
        <v>ORD-5175</v>
      </c>
      <c r="B176" s="8">
        <f>RawData!B176</f>
        <v>45095</v>
      </c>
      <c r="C176" s="5" t="str">
        <f>RawData!C176</f>
        <v>C2402</v>
      </c>
      <c r="D176" s="5" t="str">
        <f>VLOOKUP(C176, Customers!A:B,2,FALSE)</f>
        <v/>
      </c>
      <c r="E176" s="5" t="str">
        <f>RawData!D176</f>
        <v>P1050</v>
      </c>
      <c r="G176" s="5" t="str">
        <f t="array" ref="G176">XLOOKUP(E176, Products!A:A, Products!C:C)</f>
        <v>Electronics</v>
      </c>
      <c r="H176" s="5">
        <f>RawData!E176</f>
        <v>2</v>
      </c>
      <c r="I176" s="5">
        <f>RawData!F176</f>
        <v>161.48</v>
      </c>
      <c r="J176" s="5">
        <f>RawData!G176</f>
        <v>322.96</v>
      </c>
      <c r="K176" s="5" t="str">
        <f>RawData!H176</f>
        <v>East</v>
      </c>
      <c r="L176" s="5" t="str">
        <f t="shared" si="1"/>
        <v>Jun</v>
      </c>
    </row>
    <row r="177">
      <c r="A177" s="5" t="str">
        <f>RawData!A177</f>
        <v>ORD-5176</v>
      </c>
      <c r="B177" s="8">
        <f>RawData!B177</f>
        <v>44750</v>
      </c>
      <c r="C177" s="5" t="str">
        <f>RawData!C177</f>
        <v>C2194</v>
      </c>
      <c r="D177" s="5" t="str">
        <f>VLOOKUP(C177, Customers!A:B,2,FALSE)</f>
        <v/>
      </c>
      <c r="E177" s="5" t="str">
        <f>RawData!D177</f>
        <v>P1011</v>
      </c>
      <c r="G177" s="5" t="str">
        <f t="array" ref="G177">XLOOKUP(E177, Products!A:A, Products!C:C)</f>
        <v>Home</v>
      </c>
      <c r="H177" s="5">
        <f>RawData!E177</f>
        <v>4</v>
      </c>
      <c r="I177" s="5">
        <f>RawData!F177</f>
        <v>114.21</v>
      </c>
      <c r="J177" s="5">
        <f>RawData!G177</f>
        <v>456.84</v>
      </c>
      <c r="K177" s="5" t="str">
        <f>RawData!H177</f>
        <v>North</v>
      </c>
      <c r="L177" s="5" t="str">
        <f t="shared" si="1"/>
        <v>Jul</v>
      </c>
    </row>
    <row r="178">
      <c r="A178" s="5" t="str">
        <f>RawData!A178</f>
        <v>ORD-5177</v>
      </c>
      <c r="B178" s="8">
        <f>RawData!B178</f>
        <v>45918</v>
      </c>
      <c r="C178" s="5" t="str">
        <f>RawData!C178</f>
        <v>C2238</v>
      </c>
      <c r="D178" s="5" t="str">
        <f>VLOOKUP(C178, Customers!A:B,2,FALSE)</f>
        <v/>
      </c>
      <c r="E178" s="5" t="str">
        <f>RawData!D178</f>
        <v>P1013</v>
      </c>
      <c r="G178" s="5" t="str">
        <f t="array" ref="G178">XLOOKUP(E178, Products!A:A, Products!C:C)</f>
        <v>Furniture</v>
      </c>
      <c r="H178" s="5">
        <f>RawData!E178</f>
        <v>7</v>
      </c>
      <c r="I178" s="5">
        <f>RawData!F178</f>
        <v>59.18</v>
      </c>
      <c r="J178" s="5">
        <f>RawData!G178</f>
        <v>414.26</v>
      </c>
      <c r="K178" s="5" t="str">
        <f>RawData!H178</f>
        <v>South</v>
      </c>
      <c r="L178" s="5" t="str">
        <f t="shared" si="1"/>
        <v>Sep</v>
      </c>
    </row>
    <row r="179">
      <c r="A179" s="5" t="str">
        <f>RawData!A179</f>
        <v>ORD-5178</v>
      </c>
      <c r="B179" s="8">
        <f>RawData!B179</f>
        <v>44900</v>
      </c>
      <c r="C179" s="5" t="str">
        <f>RawData!C179</f>
        <v>C2172</v>
      </c>
      <c r="D179" s="5" t="str">
        <f>VLOOKUP(C179, Customers!A:B,2,FALSE)</f>
        <v/>
      </c>
      <c r="E179" s="5" t="str">
        <f>RawData!D179</f>
        <v>P1048</v>
      </c>
      <c r="G179" s="5" t="str">
        <f t="array" ref="G179">XLOOKUP(E179, Products!A:A, Products!C:C)</f>
        <v>Accessories</v>
      </c>
      <c r="H179" s="5">
        <f>RawData!E179</f>
        <v>5</v>
      </c>
      <c r="I179" s="5">
        <f>RawData!F179</f>
        <v>174.29</v>
      </c>
      <c r="J179" s="5">
        <f>RawData!G179</f>
        <v>871.45</v>
      </c>
      <c r="K179" s="5" t="str">
        <f>RawData!H179</f>
        <v>West</v>
      </c>
      <c r="L179" s="5" t="str">
        <f t="shared" si="1"/>
        <v>Dec</v>
      </c>
    </row>
    <row r="180">
      <c r="A180" s="5" t="str">
        <f>RawData!A180</f>
        <v>ORD-5179</v>
      </c>
      <c r="B180" s="8">
        <f>RawData!B180</f>
        <v>45742</v>
      </c>
      <c r="C180" s="5" t="str">
        <f>RawData!C180</f>
        <v>C2333</v>
      </c>
      <c r="D180" s="5" t="str">
        <f>VLOOKUP(C180, Customers!A:B,2,FALSE)</f>
        <v/>
      </c>
      <c r="E180" s="5" t="str">
        <f>RawData!D180</f>
        <v>P1028</v>
      </c>
      <c r="G180" s="5" t="str">
        <f t="array" ref="G180">XLOOKUP(E180, Products!A:A, Products!C:C)</f>
        <v>Furniture</v>
      </c>
      <c r="H180" s="5">
        <f>RawData!E180</f>
        <v>8</v>
      </c>
      <c r="I180" s="5">
        <f>RawData!F180</f>
        <v>82.34</v>
      </c>
      <c r="J180" s="5">
        <f>RawData!G180</f>
        <v>658.72</v>
      </c>
      <c r="K180" s="5" t="str">
        <f>RawData!H180</f>
        <v>North</v>
      </c>
      <c r="L180" s="5" t="str">
        <f t="shared" si="1"/>
        <v>Mar</v>
      </c>
    </row>
    <row r="181">
      <c r="A181" s="5" t="str">
        <f>RawData!A181</f>
        <v>ORD-5180</v>
      </c>
      <c r="B181" s="8">
        <f>RawData!B181</f>
        <v>45666</v>
      </c>
      <c r="C181" s="5" t="str">
        <f>RawData!C181</f>
        <v>C2066</v>
      </c>
      <c r="D181" s="5" t="str">
        <f>VLOOKUP(C181, Customers!A:B,2,FALSE)</f>
        <v/>
      </c>
      <c r="E181" s="5" t="str">
        <f>RawData!D181</f>
        <v>P1016</v>
      </c>
      <c r="G181" s="5" t="str">
        <f t="array" ref="G181">XLOOKUP(E181, Products!A:A, Products!C:C)</f>
        <v>Electronics</v>
      </c>
      <c r="H181" s="5">
        <f>RawData!E181</f>
        <v>3</v>
      </c>
      <c r="I181" s="5">
        <f>RawData!F181</f>
        <v>156.45</v>
      </c>
      <c r="J181" s="5">
        <f>RawData!G181</f>
        <v>469.35</v>
      </c>
      <c r="K181" s="5" t="str">
        <f>RawData!H181</f>
        <v>West</v>
      </c>
      <c r="L181" s="5" t="str">
        <f t="shared" si="1"/>
        <v>Jan</v>
      </c>
    </row>
    <row r="182">
      <c r="A182" s="5" t="str">
        <f>RawData!A182</f>
        <v>ORD-5181</v>
      </c>
      <c r="B182" s="8">
        <f>RawData!B182</f>
        <v>45322</v>
      </c>
      <c r="C182" s="5" t="str">
        <f>RawData!C182</f>
        <v>C2268</v>
      </c>
      <c r="D182" s="5" t="str">
        <f>VLOOKUP(C182, Customers!A:B,2,FALSE)</f>
        <v/>
      </c>
      <c r="E182" s="5" t="str">
        <f>RawData!D182</f>
        <v>P1010</v>
      </c>
      <c r="G182" s="5" t="str">
        <f t="array" ref="G182">XLOOKUP(E182, Products!A:A, Products!C:C)</f>
        <v>Electronics</v>
      </c>
      <c r="H182" s="5">
        <f>RawData!E182</f>
        <v>5</v>
      </c>
      <c r="I182" s="5">
        <f>RawData!F182</f>
        <v>75.41</v>
      </c>
      <c r="J182" s="5">
        <f>RawData!G182</f>
        <v>377.05</v>
      </c>
      <c r="K182" s="5" t="str">
        <f>RawData!H182</f>
        <v>East</v>
      </c>
      <c r="L182" s="5" t="str">
        <f t="shared" si="1"/>
        <v>Jan</v>
      </c>
    </row>
    <row r="183">
      <c r="A183" s="5" t="str">
        <f>RawData!A183</f>
        <v>ORD-5182</v>
      </c>
      <c r="B183" s="8">
        <f>RawData!B183</f>
        <v>45111</v>
      </c>
      <c r="C183" s="5" t="str">
        <f>RawData!C183</f>
        <v>C2022</v>
      </c>
      <c r="D183" s="5" t="str">
        <f>VLOOKUP(C183, Customers!A:B,2,FALSE)</f>
        <v/>
      </c>
      <c r="E183" s="5" t="str">
        <f>RawData!D183</f>
        <v>P1007</v>
      </c>
      <c r="G183" s="5" t="str">
        <f t="array" ref="G183">XLOOKUP(E183, Products!A:A, Products!C:C)</f>
        <v>Accessories</v>
      </c>
      <c r="H183" s="5">
        <f>RawData!E183</f>
        <v>5</v>
      </c>
      <c r="I183" s="5">
        <f>RawData!F183</f>
        <v>37.05</v>
      </c>
      <c r="J183" s="5">
        <f>RawData!G183</f>
        <v>185.25</v>
      </c>
      <c r="K183" s="5" t="str">
        <f>RawData!H183</f>
        <v>West</v>
      </c>
      <c r="L183" s="5" t="str">
        <f t="shared" si="1"/>
        <v>Jul</v>
      </c>
    </row>
    <row r="184">
      <c r="A184" s="5" t="str">
        <f>RawData!A184</f>
        <v>ORD-5183</v>
      </c>
      <c r="B184" s="8">
        <f>RawData!B184</f>
        <v>45607</v>
      </c>
      <c r="C184" s="5" t="str">
        <f>RawData!C184</f>
        <v>C2102</v>
      </c>
      <c r="D184" s="5" t="str">
        <f>VLOOKUP(C184, Customers!A:B,2,FALSE)</f>
        <v/>
      </c>
      <c r="E184" s="5" t="str">
        <f>RawData!D184</f>
        <v>P1037</v>
      </c>
      <c r="G184" s="5" t="str">
        <f t="array" ref="G184">XLOOKUP(E184, Products!A:A, Products!C:C)</f>
        <v>Electronics</v>
      </c>
      <c r="H184" s="5">
        <f>RawData!E184</f>
        <v>6</v>
      </c>
      <c r="I184" s="5">
        <f>RawData!F184</f>
        <v>115.76</v>
      </c>
      <c r="J184" s="5">
        <f>RawData!G184</f>
        <v>694.56</v>
      </c>
      <c r="K184" s="5" t="str">
        <f>RawData!H184</f>
        <v>North</v>
      </c>
      <c r="L184" s="5" t="str">
        <f t="shared" si="1"/>
        <v>Nov</v>
      </c>
    </row>
    <row r="185">
      <c r="A185" s="5" t="str">
        <f>RawData!A185</f>
        <v>ORD-5184</v>
      </c>
      <c r="B185" s="8">
        <f>RawData!B185</f>
        <v>45355</v>
      </c>
      <c r="C185" s="5" t="str">
        <f>RawData!C185</f>
        <v>C2164</v>
      </c>
      <c r="D185" s="5" t="str">
        <f>VLOOKUP(C185, Customers!A:B,2,FALSE)</f>
        <v/>
      </c>
      <c r="E185" s="5" t="str">
        <f>RawData!D185</f>
        <v>P1013</v>
      </c>
      <c r="G185" s="5" t="str">
        <f t="array" ref="G185">XLOOKUP(E185, Products!A:A, Products!C:C)</f>
        <v>Furniture</v>
      </c>
      <c r="H185" s="5">
        <f>RawData!E185</f>
        <v>10</v>
      </c>
      <c r="I185" s="5">
        <f>RawData!F185</f>
        <v>59.18</v>
      </c>
      <c r="J185" s="5">
        <f>RawData!G185</f>
        <v>591.8</v>
      </c>
      <c r="K185" s="5" t="str">
        <f>RawData!H185</f>
        <v>East</v>
      </c>
      <c r="L185" s="5" t="str">
        <f t="shared" si="1"/>
        <v>Mar</v>
      </c>
    </row>
    <row r="186">
      <c r="A186" s="5" t="str">
        <f>RawData!A186</f>
        <v>ORD-5185</v>
      </c>
      <c r="B186" s="8">
        <f>RawData!B186</f>
        <v>46070</v>
      </c>
      <c r="C186" s="5" t="str">
        <f>RawData!C186</f>
        <v>C2487</v>
      </c>
      <c r="D186" s="5" t="str">
        <f>VLOOKUP(C186, Customers!A:B,2,FALSE)</f>
        <v/>
      </c>
      <c r="E186" s="5" t="str">
        <f>RawData!D186</f>
        <v>P1023</v>
      </c>
      <c r="G186" s="5" t="str">
        <f t="array" ref="G186">XLOOKUP(E186, Products!A:A, Products!C:C)</f>
        <v>Fashion</v>
      </c>
      <c r="H186" s="5">
        <f>RawData!E186</f>
        <v>10</v>
      </c>
      <c r="I186" s="5">
        <f>RawData!F186</f>
        <v>70.71</v>
      </c>
      <c r="J186" s="5">
        <f>RawData!G186</f>
        <v>707.1</v>
      </c>
      <c r="K186" s="5" t="str">
        <f>RawData!H186</f>
        <v>East</v>
      </c>
      <c r="L186" s="5" t="str">
        <f t="shared" si="1"/>
        <v>Feb</v>
      </c>
    </row>
    <row r="187">
      <c r="A187" s="5" t="str">
        <f>RawData!A187</f>
        <v>ORD-5186</v>
      </c>
      <c r="B187" s="8">
        <f>RawData!B187</f>
        <v>44608</v>
      </c>
      <c r="C187" s="5" t="str">
        <f>RawData!C187</f>
        <v>C2239</v>
      </c>
      <c r="D187" s="5" t="str">
        <f>VLOOKUP(C187, Customers!A:B,2,FALSE)</f>
        <v/>
      </c>
      <c r="E187" s="5" t="str">
        <f>RawData!D187</f>
        <v>P1001</v>
      </c>
      <c r="G187" s="5" t="str">
        <f t="array" ref="G187">XLOOKUP(E187, Products!A:A, Products!C:C)</f>
        <v>Electronics</v>
      </c>
      <c r="H187" s="5">
        <f>RawData!E187</f>
        <v>8</v>
      </c>
      <c r="I187" s="5">
        <f>RawData!F187</f>
        <v>144.69</v>
      </c>
      <c r="J187" s="5">
        <f>RawData!G187</f>
        <v>1157.52</v>
      </c>
      <c r="K187" s="5" t="str">
        <f>RawData!H187</f>
        <v>South</v>
      </c>
      <c r="L187" s="5" t="str">
        <f t="shared" si="1"/>
        <v>Feb</v>
      </c>
    </row>
    <row r="188">
      <c r="A188" s="5" t="str">
        <f>RawData!A188</f>
        <v>ORD-5187</v>
      </c>
      <c r="B188" s="8">
        <f>RawData!B188</f>
        <v>45945</v>
      </c>
      <c r="C188" s="5" t="str">
        <f>RawData!C188</f>
        <v>C2132</v>
      </c>
      <c r="D188" s="5" t="str">
        <f>VLOOKUP(C188, Customers!A:B,2,FALSE)</f>
        <v/>
      </c>
      <c r="E188" s="5" t="str">
        <f>RawData!D188</f>
        <v>P1016</v>
      </c>
      <c r="G188" s="5" t="str">
        <f t="array" ref="G188">XLOOKUP(E188, Products!A:A, Products!C:C)</f>
        <v>Electronics</v>
      </c>
      <c r="H188" s="5">
        <f>RawData!E188</f>
        <v>6</v>
      </c>
      <c r="I188" s="5">
        <f>RawData!F188</f>
        <v>156.45</v>
      </c>
      <c r="J188" s="5">
        <f>RawData!G188</f>
        <v>938.7</v>
      </c>
      <c r="K188" s="5" t="str">
        <f>RawData!H188</f>
        <v>East</v>
      </c>
      <c r="L188" s="5" t="str">
        <f t="shared" si="1"/>
        <v>Oct</v>
      </c>
    </row>
    <row r="189">
      <c r="A189" s="5" t="str">
        <f>RawData!A189</f>
        <v>ORD-5188</v>
      </c>
      <c r="B189" s="8">
        <f>RawData!B189</f>
        <v>44679</v>
      </c>
      <c r="C189" s="5" t="str">
        <f>RawData!C189</f>
        <v>C2030</v>
      </c>
      <c r="D189" s="5" t="str">
        <f>VLOOKUP(C189, Customers!A:B,2,FALSE)</f>
        <v/>
      </c>
      <c r="E189" s="5" t="str">
        <f>RawData!D189</f>
        <v>P1010</v>
      </c>
      <c r="G189" s="5" t="str">
        <f t="array" ref="G189">XLOOKUP(E189, Products!A:A, Products!C:C)</f>
        <v>Electronics</v>
      </c>
      <c r="H189" s="5">
        <f>RawData!E189</f>
        <v>6</v>
      </c>
      <c r="I189" s="5">
        <f>RawData!F189</f>
        <v>75.41</v>
      </c>
      <c r="J189" s="5">
        <f>RawData!G189</f>
        <v>452.46</v>
      </c>
      <c r="K189" s="5" t="str">
        <f>RawData!H189</f>
        <v>East</v>
      </c>
      <c r="L189" s="5" t="str">
        <f t="shared" si="1"/>
        <v>Apr</v>
      </c>
    </row>
    <row r="190">
      <c r="A190" s="5" t="str">
        <f>RawData!A190</f>
        <v>ORD-5189</v>
      </c>
      <c r="B190" s="8">
        <f>RawData!B190</f>
        <v>45324</v>
      </c>
      <c r="C190" s="5" t="str">
        <f>RawData!C190</f>
        <v>C2381</v>
      </c>
      <c r="D190" s="5" t="str">
        <f>VLOOKUP(C190, Customers!A:B,2,FALSE)</f>
        <v/>
      </c>
      <c r="E190" s="5" t="str">
        <f>RawData!D190</f>
        <v>P1008</v>
      </c>
      <c r="G190" s="5" t="str">
        <f t="array" ref="G190">XLOOKUP(E190, Products!A:A, Products!C:C)</f>
        <v>Accessories</v>
      </c>
      <c r="H190" s="5">
        <f>RawData!E190</f>
        <v>7</v>
      </c>
      <c r="I190" s="5">
        <f>RawData!F190</f>
        <v>190.65</v>
      </c>
      <c r="J190" s="5">
        <f>RawData!G190</f>
        <v>1334.55</v>
      </c>
      <c r="K190" s="5" t="str">
        <f>RawData!H190</f>
        <v>North</v>
      </c>
      <c r="L190" s="5" t="str">
        <f t="shared" si="1"/>
        <v>Feb</v>
      </c>
    </row>
    <row r="191">
      <c r="A191" s="5" t="str">
        <f>RawData!A191</f>
        <v>ORD-5190</v>
      </c>
      <c r="B191" s="8">
        <f>RawData!B191</f>
        <v>45601</v>
      </c>
      <c r="C191" s="5" t="str">
        <f>RawData!C191</f>
        <v>C2073</v>
      </c>
      <c r="D191" s="5" t="str">
        <f>VLOOKUP(C191, Customers!A:B,2,FALSE)</f>
        <v/>
      </c>
      <c r="E191" s="5" t="str">
        <f>RawData!D191</f>
        <v>P1033</v>
      </c>
      <c r="G191" s="5" t="str">
        <f t="array" ref="G191">XLOOKUP(E191, Products!A:A, Products!C:C)</f>
        <v>Accessories</v>
      </c>
      <c r="H191" s="5">
        <f>RawData!E191</f>
        <v>2</v>
      </c>
      <c r="I191" s="5">
        <f>RawData!F191</f>
        <v>170.73</v>
      </c>
      <c r="J191" s="5">
        <f>RawData!G191</f>
        <v>341.46</v>
      </c>
      <c r="K191" s="5" t="str">
        <f>RawData!H191</f>
        <v>East</v>
      </c>
      <c r="L191" s="5" t="str">
        <f t="shared" si="1"/>
        <v>Nov</v>
      </c>
    </row>
    <row r="192">
      <c r="A192" s="5" t="str">
        <f>RawData!A192</f>
        <v>ORD-5191</v>
      </c>
      <c r="B192" s="8">
        <f>RawData!B192</f>
        <v>45257</v>
      </c>
      <c r="C192" s="5" t="str">
        <f>RawData!C192</f>
        <v>C2394</v>
      </c>
      <c r="D192" s="5" t="str">
        <f>VLOOKUP(C192, Customers!A:B,2,FALSE)</f>
        <v/>
      </c>
      <c r="E192" s="5" t="str">
        <f>RawData!D192</f>
        <v>P1023</v>
      </c>
      <c r="G192" s="5" t="str">
        <f t="array" ref="G192">XLOOKUP(E192, Products!A:A, Products!C:C)</f>
        <v>Fashion</v>
      </c>
      <c r="H192" s="5">
        <f>RawData!E192</f>
        <v>2</v>
      </c>
      <c r="I192" s="5">
        <f>RawData!F192</f>
        <v>70.71</v>
      </c>
      <c r="J192" s="5">
        <f>RawData!G192</f>
        <v>141.42</v>
      </c>
      <c r="K192" s="5" t="str">
        <f>RawData!H192</f>
        <v>South</v>
      </c>
      <c r="L192" s="5" t="str">
        <f t="shared" si="1"/>
        <v>Nov</v>
      </c>
    </row>
    <row r="193">
      <c r="A193" s="5" t="str">
        <f>RawData!A193</f>
        <v>ORD-5192</v>
      </c>
      <c r="B193" s="8">
        <f>RawData!B193</f>
        <v>44974</v>
      </c>
      <c r="C193" s="5" t="str">
        <f>RawData!C193</f>
        <v>C2383</v>
      </c>
      <c r="D193" s="5" t="str">
        <f>VLOOKUP(C193, Customers!A:B,2,FALSE)</f>
        <v/>
      </c>
      <c r="E193" s="5" t="str">
        <f>RawData!D193</f>
        <v>P1003</v>
      </c>
      <c r="G193" s="5" t="str">
        <f t="array" ref="G193">XLOOKUP(E193, Products!A:A, Products!C:C)</f>
        <v>Electronics</v>
      </c>
      <c r="H193" s="5">
        <f>RawData!E193</f>
        <v>7</v>
      </c>
      <c r="I193" s="5">
        <f>RawData!F193</f>
        <v>187.26</v>
      </c>
      <c r="J193" s="5">
        <f>RawData!G193</f>
        <v>1310.82</v>
      </c>
      <c r="K193" s="5" t="str">
        <f>RawData!H193</f>
        <v>East</v>
      </c>
      <c r="L193" s="5" t="str">
        <f t="shared" si="1"/>
        <v>Feb</v>
      </c>
    </row>
    <row r="194">
      <c r="A194" s="5" t="str">
        <f>RawData!A194</f>
        <v>ORD-5193</v>
      </c>
      <c r="B194" s="8">
        <f>RawData!B194</f>
        <v>45630</v>
      </c>
      <c r="C194" s="5" t="str">
        <f>RawData!C194</f>
        <v>C2140</v>
      </c>
      <c r="D194" s="5" t="str">
        <f>VLOOKUP(C194, Customers!A:B,2,FALSE)</f>
        <v/>
      </c>
      <c r="E194" s="5" t="str">
        <f>RawData!D194</f>
        <v>P1009</v>
      </c>
      <c r="G194" s="5" t="str">
        <f t="array" ref="G194">XLOOKUP(E194, Products!A:A, Products!C:C)</f>
        <v>Electronics</v>
      </c>
      <c r="H194" s="5">
        <f>RawData!E194</f>
        <v>10</v>
      </c>
      <c r="I194" s="5">
        <f>RawData!F194</f>
        <v>74.83</v>
      </c>
      <c r="J194" s="5">
        <f>RawData!G194</f>
        <v>748.3</v>
      </c>
      <c r="K194" s="5" t="str">
        <f>RawData!H194</f>
        <v>North</v>
      </c>
      <c r="L194" s="5" t="str">
        <f t="shared" si="1"/>
        <v>Dec</v>
      </c>
    </row>
    <row r="195">
      <c r="A195" s="5" t="str">
        <f>RawData!A195</f>
        <v>ORD-5194</v>
      </c>
      <c r="B195" s="8">
        <f>RawData!B195</f>
        <v>45222</v>
      </c>
      <c r="C195" s="5" t="str">
        <f>RawData!C195</f>
        <v>C2342</v>
      </c>
      <c r="D195" s="5" t="str">
        <f>VLOOKUP(C195, Customers!A:B,2,FALSE)</f>
        <v/>
      </c>
      <c r="E195" s="5" t="str">
        <f>RawData!D195</f>
        <v>P1036</v>
      </c>
      <c r="G195" s="5" t="str">
        <f t="array" ref="G195">XLOOKUP(E195, Products!A:A, Products!C:C)</f>
        <v>Fashion</v>
      </c>
      <c r="H195" s="5">
        <f>RawData!E195</f>
        <v>2</v>
      </c>
      <c r="I195" s="5">
        <f>RawData!F195</f>
        <v>146.68</v>
      </c>
      <c r="J195" s="5">
        <f>RawData!G195</f>
        <v>293.36</v>
      </c>
      <c r="K195" s="5" t="str">
        <f>RawData!H195</f>
        <v>South</v>
      </c>
      <c r="L195" s="5" t="str">
        <f t="shared" si="1"/>
        <v>Oct</v>
      </c>
    </row>
    <row r="196">
      <c r="A196" s="5" t="str">
        <f>RawData!A196</f>
        <v>ORD-5195</v>
      </c>
      <c r="B196" s="8">
        <f>RawData!B196</f>
        <v>45027</v>
      </c>
      <c r="C196" s="5" t="str">
        <f>RawData!C196</f>
        <v>C2453</v>
      </c>
      <c r="D196" s="5" t="str">
        <f>VLOOKUP(C196, Customers!A:B,2,FALSE)</f>
        <v/>
      </c>
      <c r="E196" s="5" t="str">
        <f>RawData!D196</f>
        <v>P1042</v>
      </c>
      <c r="G196" s="5" t="str">
        <f t="array" ref="G196">XLOOKUP(E196, Products!A:A, Products!C:C)</f>
        <v>Electronics</v>
      </c>
      <c r="H196" s="5">
        <f>RawData!E196</f>
        <v>10</v>
      </c>
      <c r="I196" s="5">
        <f>RawData!F196</f>
        <v>90.5</v>
      </c>
      <c r="J196" s="5">
        <f>RawData!G196</f>
        <v>905</v>
      </c>
      <c r="K196" s="5" t="str">
        <f>RawData!H196</f>
        <v>West</v>
      </c>
      <c r="L196" s="5" t="str">
        <f t="shared" si="1"/>
        <v>Apr</v>
      </c>
    </row>
    <row r="197">
      <c r="A197" s="5" t="str">
        <f>RawData!A197</f>
        <v>ORD-5196</v>
      </c>
      <c r="B197" s="8">
        <f>RawData!B197</f>
        <v>45031</v>
      </c>
      <c r="C197" s="5" t="str">
        <f>RawData!C197</f>
        <v>C2410</v>
      </c>
      <c r="D197" s="5" t="str">
        <f>VLOOKUP(C197, Customers!A:B,2,FALSE)</f>
        <v/>
      </c>
      <c r="E197" s="5" t="str">
        <f>RawData!D197</f>
        <v>P1045</v>
      </c>
      <c r="G197" s="5" t="str">
        <f t="array" ref="G197">XLOOKUP(E197, Products!A:A, Products!C:C)</f>
        <v>Accessories</v>
      </c>
      <c r="H197" s="5">
        <f>RawData!E197</f>
        <v>3</v>
      </c>
      <c r="I197" s="5">
        <f>RawData!F197</f>
        <v>159.7</v>
      </c>
      <c r="J197" s="5">
        <f>RawData!G197</f>
        <v>479.1</v>
      </c>
      <c r="K197" s="5" t="str">
        <f>RawData!H197</f>
        <v>West</v>
      </c>
      <c r="L197" s="5" t="str">
        <f t="shared" si="1"/>
        <v>Apr</v>
      </c>
    </row>
    <row r="198">
      <c r="A198" s="5" t="str">
        <f>RawData!A198</f>
        <v>ORD-5197</v>
      </c>
      <c r="B198" s="8">
        <f>RawData!B198</f>
        <v>45263</v>
      </c>
      <c r="C198" s="5" t="str">
        <f>RawData!C198</f>
        <v>C2150</v>
      </c>
      <c r="D198" s="5" t="str">
        <f>VLOOKUP(C198, Customers!A:B,2,FALSE)</f>
        <v/>
      </c>
      <c r="E198" s="5" t="str">
        <f>RawData!D198</f>
        <v>P1002</v>
      </c>
      <c r="G198" s="5" t="str">
        <f t="array" ref="G198">XLOOKUP(E198, Products!A:A, Products!C:C)</f>
        <v>Furniture</v>
      </c>
      <c r="H198" s="5">
        <f>RawData!E198</f>
        <v>10</v>
      </c>
      <c r="I198" s="5">
        <f>RawData!F198</f>
        <v>109.31</v>
      </c>
      <c r="J198" s="5">
        <f>RawData!G198</f>
        <v>1093.1</v>
      </c>
      <c r="K198" s="5" t="str">
        <f>RawData!H198</f>
        <v>East</v>
      </c>
      <c r="L198" s="5" t="str">
        <f t="shared" si="1"/>
        <v>Dec</v>
      </c>
    </row>
    <row r="199">
      <c r="A199" s="5" t="str">
        <f>RawData!A199</f>
        <v>ORD-5198</v>
      </c>
      <c r="B199" s="8">
        <f>RawData!B199</f>
        <v>45610</v>
      </c>
      <c r="C199" s="5" t="str">
        <f>RawData!C199</f>
        <v>C2180</v>
      </c>
      <c r="D199" s="5" t="str">
        <f>VLOOKUP(C199, Customers!A:B,2,FALSE)</f>
        <v/>
      </c>
      <c r="E199" s="5" t="str">
        <f>RawData!D199</f>
        <v>P1040</v>
      </c>
      <c r="G199" s="5" t="str">
        <f t="array" ref="G199">XLOOKUP(E199, Products!A:A, Products!C:C)</f>
        <v>Furniture</v>
      </c>
      <c r="H199" s="5">
        <f>RawData!E199</f>
        <v>2</v>
      </c>
      <c r="I199" s="5">
        <f>RawData!F199</f>
        <v>161.81</v>
      </c>
      <c r="J199" s="5">
        <f>RawData!G199</f>
        <v>323.62</v>
      </c>
      <c r="K199" s="5" t="str">
        <f>RawData!H199</f>
        <v>West</v>
      </c>
      <c r="L199" s="5" t="str">
        <f t="shared" si="1"/>
        <v>Nov</v>
      </c>
    </row>
    <row r="200">
      <c r="A200" s="5" t="str">
        <f>RawData!A200</f>
        <v>ORD-5199</v>
      </c>
      <c r="B200" s="8">
        <f>RawData!B200</f>
        <v>44965</v>
      </c>
      <c r="C200" s="5" t="str">
        <f>RawData!C200</f>
        <v>C2428</v>
      </c>
      <c r="D200" s="5" t="str">
        <f>VLOOKUP(C200, Customers!A:B,2,FALSE)</f>
        <v/>
      </c>
      <c r="E200" s="5" t="str">
        <f>RawData!D200</f>
        <v>P1026</v>
      </c>
      <c r="G200" s="5" t="str">
        <f t="array" ref="G200">XLOOKUP(E200, Products!A:A, Products!C:C)</f>
        <v>Home</v>
      </c>
      <c r="H200" s="5">
        <f>RawData!E200</f>
        <v>4</v>
      </c>
      <c r="I200" s="5">
        <f>RawData!F200</f>
        <v>128.23</v>
      </c>
      <c r="J200" s="5">
        <f>RawData!G200</f>
        <v>512.92</v>
      </c>
      <c r="K200" s="5" t="str">
        <f>RawData!H200</f>
        <v>East</v>
      </c>
      <c r="L200" s="5" t="str">
        <f t="shared" si="1"/>
        <v>Feb</v>
      </c>
    </row>
    <row r="201">
      <c r="A201" s="5" t="str">
        <f>RawData!A201</f>
        <v>ORD-5200</v>
      </c>
      <c r="B201" s="8">
        <f>RawData!B201</f>
        <v>45426</v>
      </c>
      <c r="C201" s="5" t="str">
        <f>RawData!C201</f>
        <v>C2208</v>
      </c>
      <c r="D201" s="5" t="str">
        <f>VLOOKUP(C201, Customers!A:B,2,FALSE)</f>
        <v/>
      </c>
      <c r="E201" s="5" t="str">
        <f>RawData!D201</f>
        <v>P1028</v>
      </c>
      <c r="G201" s="5" t="str">
        <f t="array" ref="G201">XLOOKUP(E201, Products!A:A, Products!C:C)</f>
        <v>Furniture</v>
      </c>
      <c r="H201" s="5">
        <f>RawData!E201</f>
        <v>1</v>
      </c>
      <c r="I201" s="5">
        <f>RawData!F201</f>
        <v>82.34</v>
      </c>
      <c r="J201" s="5">
        <f>RawData!G201</f>
        <v>82.34</v>
      </c>
      <c r="K201" s="5" t="str">
        <f>RawData!H201</f>
        <v>West</v>
      </c>
      <c r="L201" s="5" t="str">
        <f t="shared" si="1"/>
        <v>May</v>
      </c>
    </row>
    <row r="202">
      <c r="A202" s="5" t="str">
        <f>RawData!A202</f>
        <v>ORD-5201</v>
      </c>
      <c r="B202" s="8">
        <f>RawData!B202</f>
        <v>45150</v>
      </c>
      <c r="C202" s="5" t="str">
        <f>RawData!C202</f>
        <v>C2162</v>
      </c>
      <c r="D202" s="5" t="str">
        <f>VLOOKUP(C202, Customers!A:B,2,FALSE)</f>
        <v/>
      </c>
      <c r="E202" s="5" t="str">
        <f>RawData!D202</f>
        <v>P1042</v>
      </c>
      <c r="G202" s="5" t="str">
        <f t="array" ref="G202">XLOOKUP(E202, Products!A:A, Products!C:C)</f>
        <v>Electronics</v>
      </c>
      <c r="H202" s="5">
        <f>RawData!E202</f>
        <v>4</v>
      </c>
      <c r="I202" s="5">
        <f>RawData!F202</f>
        <v>90.5</v>
      </c>
      <c r="J202" s="5">
        <f>RawData!G202</f>
        <v>362</v>
      </c>
      <c r="K202" s="5" t="str">
        <f>RawData!H202</f>
        <v>North</v>
      </c>
      <c r="L202" s="5" t="str">
        <f t="shared" si="1"/>
        <v>Aug</v>
      </c>
    </row>
    <row r="203">
      <c r="A203" s="5" t="str">
        <f>RawData!A203</f>
        <v>ORD-5202</v>
      </c>
      <c r="B203" s="8">
        <f>RawData!B203</f>
        <v>44887</v>
      </c>
      <c r="C203" s="5" t="str">
        <f>RawData!C203</f>
        <v>C2265</v>
      </c>
      <c r="D203" s="5" t="str">
        <f>VLOOKUP(C203, Customers!A:B,2,FALSE)</f>
        <v>Liam Carter</v>
      </c>
      <c r="E203" s="5" t="str">
        <f>RawData!D203</f>
        <v>P1031</v>
      </c>
      <c r="G203" s="5" t="str">
        <f t="array" ref="G203">XLOOKUP(E203, Products!A:A, Products!C:C)</f>
        <v>Furniture</v>
      </c>
      <c r="H203" s="5">
        <f>RawData!E203</f>
        <v>2</v>
      </c>
      <c r="I203" s="5">
        <f>RawData!F203</f>
        <v>44.18</v>
      </c>
      <c r="J203" s="5">
        <f>RawData!G203</f>
        <v>88.36</v>
      </c>
      <c r="K203" s="5" t="str">
        <f>RawData!H203</f>
        <v>East</v>
      </c>
      <c r="L203" s="5" t="str">
        <f t="shared" si="1"/>
        <v>Nov</v>
      </c>
    </row>
    <row r="204">
      <c r="A204" s="5" t="str">
        <f>RawData!A204</f>
        <v>ORD-5203</v>
      </c>
      <c r="B204" s="8">
        <f>RawData!B204</f>
        <v>44609</v>
      </c>
      <c r="C204" s="5" t="str">
        <f>RawData!C204</f>
        <v>C2225</v>
      </c>
      <c r="D204" s="5" t="str">
        <f>VLOOKUP(C204, Customers!A:B,2,FALSE)</f>
        <v/>
      </c>
      <c r="E204" s="5" t="str">
        <f>RawData!D204</f>
        <v>P1019</v>
      </c>
      <c r="G204" s="5" t="str">
        <f t="array" ref="G204">XLOOKUP(E204, Products!A:A, Products!C:C)</f>
        <v>Electronics</v>
      </c>
      <c r="H204" s="5">
        <f>RawData!E204</f>
        <v>6</v>
      </c>
      <c r="I204" s="5">
        <f>RawData!F204</f>
        <v>193.29</v>
      </c>
      <c r="J204" s="5">
        <f>RawData!G204</f>
        <v>1159.74</v>
      </c>
      <c r="K204" s="5" t="str">
        <f>RawData!H204</f>
        <v>South</v>
      </c>
      <c r="L204" s="5" t="str">
        <f t="shared" si="1"/>
        <v>Feb</v>
      </c>
    </row>
    <row r="205">
      <c r="A205" s="5" t="str">
        <f>RawData!A205</f>
        <v>ORD-5204</v>
      </c>
      <c r="B205" s="8">
        <f>RawData!B205</f>
        <v>45227</v>
      </c>
      <c r="C205" s="5" t="str">
        <f>RawData!C205</f>
        <v>C2078</v>
      </c>
      <c r="D205" s="5" t="str">
        <f>VLOOKUP(C205, Customers!A:B,2,FALSE)</f>
        <v/>
      </c>
      <c r="E205" s="5" t="str">
        <f>RawData!D205</f>
        <v>P1016</v>
      </c>
      <c r="G205" s="5" t="str">
        <f t="array" ref="G205">XLOOKUP(E205, Products!A:A, Products!C:C)</f>
        <v>Electronics</v>
      </c>
      <c r="H205" s="5">
        <f>RawData!E205</f>
        <v>5</v>
      </c>
      <c r="I205" s="5">
        <f>RawData!F205</f>
        <v>156.45</v>
      </c>
      <c r="J205" s="5">
        <f>RawData!G205</f>
        <v>782.25</v>
      </c>
      <c r="K205" s="5" t="str">
        <f>RawData!H205</f>
        <v>West</v>
      </c>
      <c r="L205" s="5" t="str">
        <f t="shared" si="1"/>
        <v>Oct</v>
      </c>
    </row>
    <row r="206">
      <c r="A206" s="5" t="str">
        <f>RawData!A206</f>
        <v>ORD-5205</v>
      </c>
      <c r="B206" s="8">
        <f>RawData!B206</f>
        <v>45766</v>
      </c>
      <c r="C206" s="5" t="str">
        <f>RawData!C206</f>
        <v>C2385</v>
      </c>
      <c r="D206" s="5" t="str">
        <f>VLOOKUP(C206, Customers!A:B,2,FALSE)</f>
        <v>Amelia Rogers</v>
      </c>
      <c r="E206" s="5" t="str">
        <f>RawData!D206</f>
        <v>P1048</v>
      </c>
      <c r="G206" s="5" t="str">
        <f t="array" ref="G206">XLOOKUP(E206, Products!A:A, Products!C:C)</f>
        <v>Accessories</v>
      </c>
      <c r="H206" s="5">
        <f>RawData!E206</f>
        <v>9</v>
      </c>
      <c r="I206" s="5">
        <f>RawData!F206</f>
        <v>174.29</v>
      </c>
      <c r="J206" s="5">
        <f>RawData!G206</f>
        <v>1568.61</v>
      </c>
      <c r="K206" s="5" t="str">
        <f>RawData!H206</f>
        <v>West</v>
      </c>
      <c r="L206" s="5" t="str">
        <f t="shared" si="1"/>
        <v>Apr</v>
      </c>
    </row>
    <row r="207">
      <c r="A207" s="5" t="str">
        <f>RawData!A207</f>
        <v>ORD-5206</v>
      </c>
      <c r="B207" s="8">
        <f>RawData!B207</f>
        <v>45763</v>
      </c>
      <c r="C207" s="5" t="str">
        <f>RawData!C207</f>
        <v>C2450</v>
      </c>
      <c r="D207" s="5" t="str">
        <f>VLOOKUP(C207, Customers!A:B,2,FALSE)</f>
        <v/>
      </c>
      <c r="E207" s="5" t="str">
        <f>RawData!D207</f>
        <v>P1001</v>
      </c>
      <c r="G207" s="5" t="str">
        <f t="array" ref="G207">XLOOKUP(E207, Products!A:A, Products!C:C)</f>
        <v>Electronics</v>
      </c>
      <c r="H207" s="5">
        <f>RawData!E207</f>
        <v>4</v>
      </c>
      <c r="I207" s="5">
        <f>RawData!F207</f>
        <v>144.69</v>
      </c>
      <c r="J207" s="5">
        <f>RawData!G207</f>
        <v>578.76</v>
      </c>
      <c r="K207" s="5" t="str">
        <f>RawData!H207</f>
        <v>East</v>
      </c>
      <c r="L207" s="5" t="str">
        <f t="shared" si="1"/>
        <v>Apr</v>
      </c>
    </row>
    <row r="208">
      <c r="A208" s="5" t="str">
        <f>RawData!A208</f>
        <v>ORD-5207</v>
      </c>
      <c r="B208" s="8">
        <f>RawData!B208</f>
        <v>44641</v>
      </c>
      <c r="C208" s="5" t="str">
        <f>RawData!C208</f>
        <v>C2330</v>
      </c>
      <c r="D208" s="5" t="str">
        <f>VLOOKUP(C208, Customers!A:B,2,FALSE)</f>
        <v/>
      </c>
      <c r="E208" s="5" t="str">
        <f>RawData!D208</f>
        <v>P1006</v>
      </c>
      <c r="G208" s="5" t="str">
        <f t="array" ref="G208">XLOOKUP(E208, Products!A:A, Products!C:C)</f>
        <v>Electronics</v>
      </c>
      <c r="H208" s="5">
        <f>RawData!E208</f>
        <v>5</v>
      </c>
      <c r="I208" s="5">
        <f>RawData!F208</f>
        <v>143.58</v>
      </c>
      <c r="J208" s="5">
        <f>RawData!G208</f>
        <v>717.9</v>
      </c>
      <c r="K208" s="5" t="str">
        <f>RawData!H208</f>
        <v>West</v>
      </c>
      <c r="L208" s="5" t="str">
        <f t="shared" si="1"/>
        <v>Mar</v>
      </c>
    </row>
    <row r="209">
      <c r="A209" s="5" t="str">
        <f>RawData!A209</f>
        <v>ORD-5208</v>
      </c>
      <c r="B209" s="8">
        <f>RawData!B209</f>
        <v>45537</v>
      </c>
      <c r="C209" s="5" t="str">
        <f>RawData!C209</f>
        <v>C2144</v>
      </c>
      <c r="D209" s="5" t="str">
        <f>VLOOKUP(C209, Customers!A:B,2,FALSE)</f>
        <v/>
      </c>
      <c r="E209" s="5" t="str">
        <f>RawData!D209</f>
        <v>P1005</v>
      </c>
      <c r="G209" s="5" t="str">
        <f t="array" ref="G209">XLOOKUP(E209, Products!A:A, Products!C:C)</f>
        <v>Furniture</v>
      </c>
      <c r="H209" s="5">
        <f>RawData!E209</f>
        <v>4</v>
      </c>
      <c r="I209" s="5">
        <f>RawData!F209</f>
        <v>160.49</v>
      </c>
      <c r="J209" s="5">
        <f>RawData!G209</f>
        <v>641.96</v>
      </c>
      <c r="K209" s="5" t="str">
        <f>RawData!H209</f>
        <v>North</v>
      </c>
      <c r="L209" s="5" t="str">
        <f t="shared" si="1"/>
        <v>Sep</v>
      </c>
    </row>
    <row r="210">
      <c r="A210" s="5" t="str">
        <f>RawData!A210</f>
        <v>ORD-5209</v>
      </c>
      <c r="B210" s="8">
        <f>RawData!B210</f>
        <v>45026</v>
      </c>
      <c r="C210" s="5" t="str">
        <f>RawData!C210</f>
        <v>C2476</v>
      </c>
      <c r="D210" s="5" t="str">
        <f>VLOOKUP(C210, Customers!A:B,2,FALSE)</f>
        <v/>
      </c>
      <c r="E210" s="5" t="str">
        <f>RawData!D210</f>
        <v>P1025</v>
      </c>
      <c r="G210" s="5" t="str">
        <f t="array" ref="G210">XLOOKUP(E210, Products!A:A, Products!C:C)</f>
        <v>Electronics</v>
      </c>
      <c r="H210" s="5">
        <f>RawData!E210</f>
        <v>1</v>
      </c>
      <c r="I210" s="5">
        <f>RawData!F210</f>
        <v>65.45</v>
      </c>
      <c r="J210" s="5">
        <f>RawData!G210</f>
        <v>65.45</v>
      </c>
      <c r="K210" s="5" t="str">
        <f>RawData!H210</f>
        <v>South</v>
      </c>
      <c r="L210" s="5" t="str">
        <f t="shared" si="1"/>
        <v>Apr</v>
      </c>
    </row>
    <row r="211">
      <c r="A211" s="5" t="str">
        <f>RawData!A211</f>
        <v>ORD-5210</v>
      </c>
      <c r="B211" s="8">
        <f>RawData!B211</f>
        <v>45139</v>
      </c>
      <c r="C211" s="5" t="str">
        <f>RawData!C211</f>
        <v>C2441</v>
      </c>
      <c r="D211" s="5" t="str">
        <f>VLOOKUP(C211, Customers!A:B,2,FALSE)</f>
        <v/>
      </c>
      <c r="E211" s="5" t="str">
        <f>RawData!D211</f>
        <v>P1040</v>
      </c>
      <c r="G211" s="5" t="str">
        <f t="array" ref="G211">XLOOKUP(E211, Products!A:A, Products!C:C)</f>
        <v>Furniture</v>
      </c>
      <c r="H211" s="5">
        <f>RawData!E211</f>
        <v>6</v>
      </c>
      <c r="I211" s="5">
        <f>RawData!F211</f>
        <v>161.81</v>
      </c>
      <c r="J211" s="5">
        <f>RawData!G211</f>
        <v>970.86</v>
      </c>
      <c r="K211" s="5" t="str">
        <f>RawData!H211</f>
        <v>South</v>
      </c>
      <c r="L211" s="5" t="str">
        <f t="shared" si="1"/>
        <v>Aug</v>
      </c>
    </row>
    <row r="212">
      <c r="A212" s="5" t="str">
        <f>RawData!A212</f>
        <v>ORD-5211</v>
      </c>
      <c r="B212" s="8">
        <f>RawData!B212</f>
        <v>46010</v>
      </c>
      <c r="C212" s="5" t="str">
        <f>RawData!C212</f>
        <v>C2271</v>
      </c>
      <c r="D212" s="5" t="str">
        <f>VLOOKUP(C212, Customers!A:B,2,FALSE)</f>
        <v/>
      </c>
      <c r="E212" s="5" t="str">
        <f>RawData!D212</f>
        <v>P1021</v>
      </c>
      <c r="G212" s="5" t="str">
        <f t="array" ref="G212">XLOOKUP(E212, Products!A:A, Products!C:C)</f>
        <v>Electronics</v>
      </c>
      <c r="H212" s="5">
        <f>RawData!E212</f>
        <v>6</v>
      </c>
      <c r="I212" s="5">
        <f>RawData!F212</f>
        <v>140.72</v>
      </c>
      <c r="J212" s="5">
        <f>RawData!G212</f>
        <v>844.32</v>
      </c>
      <c r="K212" s="5" t="str">
        <f>RawData!H212</f>
        <v>South</v>
      </c>
      <c r="L212" s="5" t="str">
        <f t="shared" si="1"/>
        <v>Dec</v>
      </c>
    </row>
    <row r="213">
      <c r="A213" s="5" t="str">
        <f>RawData!A213</f>
        <v>ORD-5212</v>
      </c>
      <c r="B213" s="8">
        <f>RawData!B213</f>
        <v>44572</v>
      </c>
      <c r="C213" s="5" t="str">
        <f>RawData!C213</f>
        <v>C2222</v>
      </c>
      <c r="D213" s="5" t="str">
        <f>VLOOKUP(C213, Customers!A:B,2,FALSE)</f>
        <v/>
      </c>
      <c r="E213" s="5" t="str">
        <f>RawData!D213</f>
        <v>P1044</v>
      </c>
      <c r="G213" s="5" t="str">
        <f t="array" ref="G213">XLOOKUP(E213, Products!A:A, Products!C:C)</f>
        <v>Fashion</v>
      </c>
      <c r="H213" s="5">
        <f>RawData!E213</f>
        <v>7</v>
      </c>
      <c r="I213" s="5">
        <f>RawData!F213</f>
        <v>138.68</v>
      </c>
      <c r="J213" s="5">
        <f>RawData!G213</f>
        <v>970.76</v>
      </c>
      <c r="K213" s="5" t="str">
        <f>RawData!H213</f>
        <v>South</v>
      </c>
      <c r="L213" s="5" t="str">
        <f t="shared" si="1"/>
        <v>Jan</v>
      </c>
    </row>
    <row r="214">
      <c r="A214" s="5" t="str">
        <f>RawData!A214</f>
        <v>ORD-5213</v>
      </c>
      <c r="B214" s="8">
        <f>RawData!B214</f>
        <v>45226</v>
      </c>
      <c r="C214" s="5" t="str">
        <f>RawData!C214</f>
        <v>C2280</v>
      </c>
      <c r="D214" s="5" t="str">
        <f>VLOOKUP(C214, Customers!A:B,2,FALSE)</f>
        <v/>
      </c>
      <c r="E214" s="5" t="str">
        <f>RawData!D214</f>
        <v>P1027</v>
      </c>
      <c r="G214" s="5" t="str">
        <f t="array" ref="G214">XLOOKUP(E214, Products!A:A, Products!C:C)</f>
        <v>Fashion</v>
      </c>
      <c r="H214" s="5">
        <f>RawData!E214</f>
        <v>2</v>
      </c>
      <c r="I214" s="5">
        <f>RawData!F214</f>
        <v>152.99</v>
      </c>
      <c r="J214" s="5">
        <f>RawData!G214</f>
        <v>305.98</v>
      </c>
      <c r="K214" s="5" t="str">
        <f>RawData!H214</f>
        <v>West</v>
      </c>
      <c r="L214" s="5" t="str">
        <f t="shared" si="1"/>
        <v>Oct</v>
      </c>
    </row>
    <row r="215">
      <c r="A215" s="5" t="str">
        <f>RawData!A215</f>
        <v>ORD-5214</v>
      </c>
      <c r="B215" s="8">
        <f>RawData!B215</f>
        <v>44893</v>
      </c>
      <c r="C215" s="5" t="str">
        <f>RawData!C215</f>
        <v>C2468</v>
      </c>
      <c r="D215" s="5" t="str">
        <f>VLOOKUP(C215, Customers!A:B,2,FALSE)</f>
        <v/>
      </c>
      <c r="E215" s="5" t="str">
        <f>RawData!D215</f>
        <v>P1012</v>
      </c>
      <c r="G215" s="5" t="str">
        <f t="array" ref="G215">XLOOKUP(E215, Products!A:A, Products!C:C)</f>
        <v>Electronics</v>
      </c>
      <c r="H215" s="5">
        <f>RawData!E215</f>
        <v>9</v>
      </c>
      <c r="I215" s="5">
        <f>RawData!F215</f>
        <v>143.99</v>
      </c>
      <c r="J215" s="5">
        <f>RawData!G215</f>
        <v>1295.91</v>
      </c>
      <c r="K215" s="5" t="str">
        <f>RawData!H215</f>
        <v>South</v>
      </c>
      <c r="L215" s="5" t="str">
        <f t="shared" si="1"/>
        <v>Nov</v>
      </c>
    </row>
    <row r="216">
      <c r="A216" s="5" t="str">
        <f>RawData!A216</f>
        <v>ORD-5215</v>
      </c>
      <c r="B216" s="8">
        <f>RawData!B216</f>
        <v>44782</v>
      </c>
      <c r="C216" s="5" t="str">
        <f>RawData!C216</f>
        <v>C2258</v>
      </c>
      <c r="D216" s="5" t="str">
        <f>VLOOKUP(C216, Customers!A:B,2,FALSE)</f>
        <v/>
      </c>
      <c r="E216" s="5" t="str">
        <f>RawData!D216</f>
        <v>P1029</v>
      </c>
      <c r="G216" s="5" t="str">
        <f t="array" ref="G216">XLOOKUP(E216, Products!A:A, Products!C:C)</f>
        <v>Furniture</v>
      </c>
      <c r="H216" s="5">
        <f>RawData!E216</f>
        <v>8</v>
      </c>
      <c r="I216" s="5">
        <f>RawData!F216</f>
        <v>104.81</v>
      </c>
      <c r="J216" s="5">
        <f>RawData!G216</f>
        <v>838.48</v>
      </c>
      <c r="K216" s="5" t="str">
        <f>RawData!H216</f>
        <v>West</v>
      </c>
      <c r="L216" s="5" t="str">
        <f t="shared" si="1"/>
        <v>Aug</v>
      </c>
    </row>
    <row r="217">
      <c r="A217" s="5" t="str">
        <f>RawData!A217</f>
        <v>ORD-5216</v>
      </c>
      <c r="B217" s="8">
        <f>RawData!B217</f>
        <v>44649</v>
      </c>
      <c r="C217" s="5" t="str">
        <f>RawData!C217</f>
        <v>C2110</v>
      </c>
      <c r="D217" s="5" t="str">
        <f>VLOOKUP(C217, Customers!A:B,2,FALSE)</f>
        <v/>
      </c>
      <c r="E217" s="5" t="str">
        <f>RawData!D217</f>
        <v>P1020</v>
      </c>
      <c r="G217" s="5" t="str">
        <f t="array" ref="G217">XLOOKUP(E217, Products!A:A, Products!C:C)</f>
        <v>Furniture</v>
      </c>
      <c r="H217" s="5">
        <f>RawData!E217</f>
        <v>10</v>
      </c>
      <c r="I217" s="5">
        <f>RawData!F217</f>
        <v>94.59</v>
      </c>
      <c r="J217" s="5">
        <f>RawData!G217</f>
        <v>945.9</v>
      </c>
      <c r="K217" s="5" t="str">
        <f>RawData!H217</f>
        <v>East</v>
      </c>
      <c r="L217" s="5" t="str">
        <f t="shared" si="1"/>
        <v>Mar</v>
      </c>
    </row>
    <row r="218">
      <c r="A218" s="5" t="str">
        <f>RawData!A218</f>
        <v>ORD-5217</v>
      </c>
      <c r="B218" s="8">
        <f>RawData!B218</f>
        <v>45668</v>
      </c>
      <c r="C218" s="5" t="str">
        <f>RawData!C218</f>
        <v>C2280</v>
      </c>
      <c r="D218" s="5" t="str">
        <f>VLOOKUP(C218, Customers!A:B,2,FALSE)</f>
        <v/>
      </c>
      <c r="E218" s="5" t="str">
        <f>RawData!D218</f>
        <v>P1003</v>
      </c>
      <c r="G218" s="5" t="str">
        <f t="array" ref="G218">XLOOKUP(E218, Products!A:A, Products!C:C)</f>
        <v>Electronics</v>
      </c>
      <c r="H218" s="5">
        <f>RawData!E218</f>
        <v>5</v>
      </c>
      <c r="I218" s="5">
        <f>RawData!F218</f>
        <v>187.26</v>
      </c>
      <c r="J218" s="5">
        <f>RawData!G218</f>
        <v>936.3</v>
      </c>
      <c r="K218" s="5" t="str">
        <f>RawData!H218</f>
        <v>East</v>
      </c>
      <c r="L218" s="5" t="str">
        <f t="shared" si="1"/>
        <v>Jan</v>
      </c>
    </row>
    <row r="219">
      <c r="A219" s="5" t="str">
        <f>RawData!A219</f>
        <v>ORD-5218</v>
      </c>
      <c r="B219" s="8">
        <f>RawData!B219</f>
        <v>45090</v>
      </c>
      <c r="C219" s="5" t="str">
        <f>RawData!C219</f>
        <v>C2160</v>
      </c>
      <c r="D219" s="5" t="str">
        <f>VLOOKUP(C219, Customers!A:B,2,FALSE)</f>
        <v/>
      </c>
      <c r="E219" s="5" t="str">
        <f>RawData!D219</f>
        <v>P1029</v>
      </c>
      <c r="G219" s="5" t="str">
        <f t="array" ref="G219">XLOOKUP(E219, Products!A:A, Products!C:C)</f>
        <v>Furniture</v>
      </c>
      <c r="H219" s="5">
        <f>RawData!E219</f>
        <v>8</v>
      </c>
      <c r="I219" s="5">
        <f>RawData!F219</f>
        <v>104.81</v>
      </c>
      <c r="J219" s="5">
        <f>RawData!G219</f>
        <v>838.48</v>
      </c>
      <c r="K219" s="5" t="str">
        <f>RawData!H219</f>
        <v>South</v>
      </c>
      <c r="L219" s="5" t="str">
        <f t="shared" si="1"/>
        <v>Jun</v>
      </c>
    </row>
    <row r="220">
      <c r="A220" s="5" t="str">
        <f>RawData!A220</f>
        <v>ORD-5219</v>
      </c>
      <c r="B220" s="8">
        <f>RawData!B220</f>
        <v>45981</v>
      </c>
      <c r="C220" s="5" t="str">
        <f>RawData!C220</f>
        <v>C2136</v>
      </c>
      <c r="D220" s="5" t="str">
        <f>VLOOKUP(C220, Customers!A:B,2,FALSE)</f>
        <v/>
      </c>
      <c r="E220" s="5" t="str">
        <f>RawData!D220</f>
        <v>P1018</v>
      </c>
      <c r="G220" s="5" t="str">
        <f t="array" ref="G220">XLOOKUP(E220, Products!A:A, Products!C:C)</f>
        <v>Electronics</v>
      </c>
      <c r="H220" s="5">
        <f>RawData!E220</f>
        <v>8</v>
      </c>
      <c r="I220" s="5">
        <f>RawData!F220</f>
        <v>131.34</v>
      </c>
      <c r="J220" s="5">
        <f>RawData!G220</f>
        <v>1050.72</v>
      </c>
      <c r="K220" s="5" t="str">
        <f>RawData!H220</f>
        <v>South</v>
      </c>
      <c r="L220" s="5" t="str">
        <f t="shared" si="1"/>
        <v>Nov</v>
      </c>
    </row>
    <row r="221">
      <c r="A221" s="5" t="str">
        <f>RawData!A221</f>
        <v>ORD-5220</v>
      </c>
      <c r="B221" s="8">
        <f>RawData!B221</f>
        <v>44598</v>
      </c>
      <c r="C221" s="5" t="str">
        <f>RawData!C221</f>
        <v>C2118</v>
      </c>
      <c r="D221" s="5" t="str">
        <f>VLOOKUP(C221, Customers!A:B,2,FALSE)</f>
        <v/>
      </c>
      <c r="E221" s="5" t="str">
        <f>RawData!D221</f>
        <v>P1029</v>
      </c>
      <c r="G221" s="5" t="str">
        <f t="array" ref="G221">XLOOKUP(E221, Products!A:A, Products!C:C)</f>
        <v>Furniture</v>
      </c>
      <c r="H221" s="5">
        <f>RawData!E221</f>
        <v>7</v>
      </c>
      <c r="I221" s="5">
        <f>RawData!F221</f>
        <v>104.81</v>
      </c>
      <c r="J221" s="5">
        <f>RawData!G221</f>
        <v>733.67</v>
      </c>
      <c r="K221" s="5" t="str">
        <f>RawData!H221</f>
        <v>South</v>
      </c>
      <c r="L221" s="5" t="str">
        <f t="shared" si="1"/>
        <v>Feb</v>
      </c>
    </row>
    <row r="222">
      <c r="A222" s="5" t="str">
        <f>RawData!A222</f>
        <v>ORD-5221</v>
      </c>
      <c r="B222" s="8">
        <f>RawData!B222</f>
        <v>45197</v>
      </c>
      <c r="C222" s="5" t="str">
        <f>RawData!C222</f>
        <v>C2318</v>
      </c>
      <c r="D222" s="5" t="str">
        <f>VLOOKUP(C222, Customers!A:B,2,FALSE)</f>
        <v/>
      </c>
      <c r="E222" s="5" t="str">
        <f>RawData!D222</f>
        <v>P1049</v>
      </c>
      <c r="G222" s="5" t="str">
        <f t="array" ref="G222">XLOOKUP(E222, Products!A:A, Products!C:C)</f>
        <v>Accessories</v>
      </c>
      <c r="H222" s="5">
        <f>RawData!E222</f>
        <v>4</v>
      </c>
      <c r="I222" s="5">
        <f>RawData!F222</f>
        <v>62.86</v>
      </c>
      <c r="J222" s="5">
        <f>RawData!G222</f>
        <v>251.44</v>
      </c>
      <c r="K222" s="5" t="str">
        <f>RawData!H222</f>
        <v>East</v>
      </c>
      <c r="L222" s="5" t="str">
        <f t="shared" si="1"/>
        <v>Sep</v>
      </c>
    </row>
    <row r="223">
      <c r="A223" s="5" t="str">
        <f>RawData!A223</f>
        <v>ORD-5222</v>
      </c>
      <c r="B223" s="8">
        <f>RawData!B223</f>
        <v>44934</v>
      </c>
      <c r="C223" s="5" t="str">
        <f>RawData!C223</f>
        <v>C2014</v>
      </c>
      <c r="D223" s="5" t="str">
        <f>VLOOKUP(C223, Customers!A:B,2,FALSE)</f>
        <v/>
      </c>
      <c r="E223" s="5" t="str">
        <f>RawData!D223</f>
        <v>P1040</v>
      </c>
      <c r="G223" s="5" t="str">
        <f t="array" ref="G223">XLOOKUP(E223, Products!A:A, Products!C:C)</f>
        <v>Furniture</v>
      </c>
      <c r="H223" s="5">
        <f>RawData!E223</f>
        <v>3</v>
      </c>
      <c r="I223" s="5">
        <f>RawData!F223</f>
        <v>161.81</v>
      </c>
      <c r="J223" s="5">
        <f>RawData!G223</f>
        <v>485.43</v>
      </c>
      <c r="K223" s="5" t="str">
        <f>RawData!H223</f>
        <v>South</v>
      </c>
      <c r="L223" s="5" t="str">
        <f t="shared" si="1"/>
        <v>Jan</v>
      </c>
    </row>
    <row r="224">
      <c r="A224" s="5" t="str">
        <f>RawData!A224</f>
        <v>ORD-5223</v>
      </c>
      <c r="B224" s="8">
        <f>RawData!B224</f>
        <v>44730</v>
      </c>
      <c r="C224" s="5" t="str">
        <f>RawData!C224</f>
        <v>C2111</v>
      </c>
      <c r="D224" s="5" t="str">
        <f>VLOOKUP(C224, Customers!A:B,2,FALSE)</f>
        <v/>
      </c>
      <c r="E224" s="5" t="str">
        <f>RawData!D224</f>
        <v>P1026</v>
      </c>
      <c r="G224" s="5" t="str">
        <f t="array" ref="G224">XLOOKUP(E224, Products!A:A, Products!C:C)</f>
        <v>Home</v>
      </c>
      <c r="H224" s="5">
        <f>RawData!E224</f>
        <v>1</v>
      </c>
      <c r="I224" s="5">
        <f>RawData!F224</f>
        <v>128.23</v>
      </c>
      <c r="J224" s="5">
        <f>RawData!G224</f>
        <v>128.23</v>
      </c>
      <c r="K224" s="5" t="str">
        <f>RawData!H224</f>
        <v>West</v>
      </c>
      <c r="L224" s="5" t="str">
        <f t="shared" si="1"/>
        <v>Jun</v>
      </c>
    </row>
    <row r="225">
      <c r="A225" s="5" t="str">
        <f>RawData!A225</f>
        <v>ORD-5224</v>
      </c>
      <c r="B225" s="8">
        <f>RawData!B225</f>
        <v>44762</v>
      </c>
      <c r="C225" s="5" t="str">
        <f>RawData!C225</f>
        <v>C2006</v>
      </c>
      <c r="D225" s="5" t="str">
        <f>VLOOKUP(C225, Customers!A:B,2,FALSE)</f>
        <v/>
      </c>
      <c r="E225" s="5" t="str">
        <f>RawData!D225</f>
        <v>P1006</v>
      </c>
      <c r="G225" s="5" t="str">
        <f t="array" ref="G225">XLOOKUP(E225, Products!A:A, Products!C:C)</f>
        <v>Electronics</v>
      </c>
      <c r="H225" s="5">
        <f>RawData!E225</f>
        <v>5</v>
      </c>
      <c r="I225" s="5">
        <f>RawData!F225</f>
        <v>143.58</v>
      </c>
      <c r="J225" s="5">
        <f>RawData!G225</f>
        <v>717.9</v>
      </c>
      <c r="K225" s="5" t="str">
        <f>RawData!H225</f>
        <v>West</v>
      </c>
      <c r="L225" s="5" t="str">
        <f t="shared" si="1"/>
        <v>Jul</v>
      </c>
    </row>
    <row r="226">
      <c r="A226" s="5" t="str">
        <f>RawData!A226</f>
        <v>ORD-5225</v>
      </c>
      <c r="B226" s="8">
        <f>RawData!B226</f>
        <v>44628</v>
      </c>
      <c r="C226" s="5" t="str">
        <f>RawData!C226</f>
        <v>C2284</v>
      </c>
      <c r="D226" s="5" t="str">
        <f>VLOOKUP(C226, Customers!A:B,2,FALSE)</f>
        <v/>
      </c>
      <c r="E226" s="5" t="str">
        <f>RawData!D226</f>
        <v>P1043</v>
      </c>
      <c r="G226" s="5" t="str">
        <f t="array" ref="G226">XLOOKUP(E226, Products!A:A, Products!C:C)</f>
        <v>Fashion</v>
      </c>
      <c r="H226" s="5">
        <f>RawData!E226</f>
        <v>2</v>
      </c>
      <c r="I226" s="5">
        <f>RawData!F226</f>
        <v>183.75</v>
      </c>
      <c r="J226" s="5">
        <f>RawData!G226</f>
        <v>367.5</v>
      </c>
      <c r="K226" s="5" t="str">
        <f>RawData!H226</f>
        <v>South</v>
      </c>
      <c r="L226" s="5" t="str">
        <f t="shared" si="1"/>
        <v>Mar</v>
      </c>
    </row>
    <row r="227">
      <c r="A227" s="5" t="str">
        <f>RawData!A227</f>
        <v>ORD-5226</v>
      </c>
      <c r="B227" s="8">
        <f>RawData!B227</f>
        <v>45814</v>
      </c>
      <c r="C227" s="5" t="str">
        <f>RawData!C227</f>
        <v>C2168</v>
      </c>
      <c r="D227" s="5" t="str">
        <f>VLOOKUP(C227, Customers!A:B,2,FALSE)</f>
        <v/>
      </c>
      <c r="E227" s="5" t="str">
        <f>RawData!D227</f>
        <v>P1024</v>
      </c>
      <c r="G227" s="5" t="str">
        <f t="array" ref="G227">XLOOKUP(E227, Products!A:A, Products!C:C)</f>
        <v>Electronics</v>
      </c>
      <c r="H227" s="5">
        <f>RawData!E227</f>
        <v>5</v>
      </c>
      <c r="I227" s="5">
        <f>RawData!F227</f>
        <v>122.33</v>
      </c>
      <c r="J227" s="5">
        <f>RawData!G227</f>
        <v>611.65</v>
      </c>
      <c r="K227" s="5" t="str">
        <f>RawData!H227</f>
        <v>North</v>
      </c>
      <c r="L227" s="5" t="str">
        <f t="shared" si="1"/>
        <v>Jun</v>
      </c>
    </row>
    <row r="228">
      <c r="A228" s="5" t="str">
        <f>RawData!A228</f>
        <v>ORD-5227</v>
      </c>
      <c r="B228" s="8">
        <f>RawData!B228</f>
        <v>45057</v>
      </c>
      <c r="C228" s="5" t="str">
        <f>RawData!C228</f>
        <v>C2008</v>
      </c>
      <c r="D228" s="5" t="str">
        <f>VLOOKUP(C228, Customers!A:B,2,FALSE)</f>
        <v/>
      </c>
      <c r="E228" s="5" t="str">
        <f>RawData!D228</f>
        <v>P1008</v>
      </c>
      <c r="G228" s="5" t="str">
        <f t="array" ref="G228">XLOOKUP(E228, Products!A:A, Products!C:C)</f>
        <v>Accessories</v>
      </c>
      <c r="H228" s="5">
        <f>RawData!E228</f>
        <v>7</v>
      </c>
      <c r="I228" s="5">
        <f>RawData!F228</f>
        <v>190.65</v>
      </c>
      <c r="J228" s="5">
        <f>RawData!G228</f>
        <v>1334.55</v>
      </c>
      <c r="K228" s="5" t="str">
        <f>RawData!H228</f>
        <v>West</v>
      </c>
      <c r="L228" s="5" t="str">
        <f t="shared" si="1"/>
        <v>May</v>
      </c>
    </row>
    <row r="229">
      <c r="A229" s="5" t="str">
        <f>RawData!A229</f>
        <v>ORD-5228</v>
      </c>
      <c r="B229" s="8">
        <f>RawData!B229</f>
        <v>45781</v>
      </c>
      <c r="C229" s="5" t="str">
        <f>RawData!C229</f>
        <v>C2034</v>
      </c>
      <c r="D229" s="5" t="str">
        <f>VLOOKUP(C229, Customers!A:B,2,FALSE)</f>
        <v/>
      </c>
      <c r="E229" s="5" t="str">
        <f>RawData!D229</f>
        <v>P1044</v>
      </c>
      <c r="G229" s="5" t="str">
        <f t="array" ref="G229">XLOOKUP(E229, Products!A:A, Products!C:C)</f>
        <v>Fashion</v>
      </c>
      <c r="H229" s="5">
        <f>RawData!E229</f>
        <v>3</v>
      </c>
      <c r="I229" s="5">
        <f>RawData!F229</f>
        <v>138.68</v>
      </c>
      <c r="J229" s="5">
        <f>RawData!G229</f>
        <v>416.04</v>
      </c>
      <c r="K229" s="5" t="str">
        <f>RawData!H229</f>
        <v>East</v>
      </c>
      <c r="L229" s="5" t="str">
        <f t="shared" si="1"/>
        <v>May</v>
      </c>
    </row>
    <row r="230">
      <c r="A230" s="5" t="str">
        <f>RawData!A230</f>
        <v>ORD-5229</v>
      </c>
      <c r="B230" s="8">
        <f>RawData!B230</f>
        <v>45136</v>
      </c>
      <c r="C230" s="5" t="str">
        <f>RawData!C230</f>
        <v>C2486</v>
      </c>
      <c r="D230" s="5" t="str">
        <f>VLOOKUP(C230, Customers!A:B,2,FALSE)</f>
        <v/>
      </c>
      <c r="E230" s="5" t="str">
        <f>RawData!D230</f>
        <v>P1035</v>
      </c>
      <c r="G230" s="5" t="str">
        <f t="array" ref="G230">XLOOKUP(E230, Products!A:A, Products!C:C)</f>
        <v>Home</v>
      </c>
      <c r="H230" s="5">
        <f>RawData!E230</f>
        <v>3</v>
      </c>
      <c r="I230" s="5">
        <f>RawData!F230</f>
        <v>35.91</v>
      </c>
      <c r="J230" s="5">
        <f>RawData!G230</f>
        <v>107.73</v>
      </c>
      <c r="K230" s="5" t="str">
        <f>RawData!H230</f>
        <v>West</v>
      </c>
      <c r="L230" s="5" t="str">
        <f t="shared" si="1"/>
        <v>Jul</v>
      </c>
    </row>
    <row r="231">
      <c r="A231" s="5" t="str">
        <f>RawData!A231</f>
        <v>ORD-5230</v>
      </c>
      <c r="B231" s="8">
        <f>RawData!B231</f>
        <v>45230</v>
      </c>
      <c r="C231" s="5" t="str">
        <f>RawData!C231</f>
        <v>C2282</v>
      </c>
      <c r="D231" s="5" t="str">
        <f>VLOOKUP(C231, Customers!A:B,2,FALSE)</f>
        <v/>
      </c>
      <c r="E231" s="5" t="str">
        <f>RawData!D231</f>
        <v>P1024</v>
      </c>
      <c r="G231" s="5" t="str">
        <f t="array" ref="G231">XLOOKUP(E231, Products!A:A, Products!C:C)</f>
        <v>Electronics</v>
      </c>
      <c r="H231" s="5">
        <f>RawData!E231</f>
        <v>5</v>
      </c>
      <c r="I231" s="5">
        <f>RawData!F231</f>
        <v>122.33</v>
      </c>
      <c r="J231" s="5">
        <f>RawData!G231</f>
        <v>611.65</v>
      </c>
      <c r="K231" s="5" t="str">
        <f>RawData!H231</f>
        <v>West</v>
      </c>
      <c r="L231" s="5" t="str">
        <f t="shared" si="1"/>
        <v>Oct</v>
      </c>
    </row>
    <row r="232">
      <c r="A232" s="5" t="str">
        <f>RawData!A232</f>
        <v>ORD-5231</v>
      </c>
      <c r="B232" s="8">
        <f>RawData!B232</f>
        <v>45871</v>
      </c>
      <c r="C232" s="5" t="str">
        <f>RawData!C232</f>
        <v>C2309</v>
      </c>
      <c r="D232" s="5" t="str">
        <f>VLOOKUP(C232, Customers!A:B,2,FALSE)</f>
        <v/>
      </c>
      <c r="E232" s="5" t="str">
        <f>RawData!D232</f>
        <v>P1007</v>
      </c>
      <c r="G232" s="5" t="str">
        <f t="array" ref="G232">XLOOKUP(E232, Products!A:A, Products!C:C)</f>
        <v>Accessories</v>
      </c>
      <c r="H232" s="5">
        <f>RawData!E232</f>
        <v>3</v>
      </c>
      <c r="I232" s="5">
        <f>RawData!F232</f>
        <v>37.05</v>
      </c>
      <c r="J232" s="5">
        <f>RawData!G232</f>
        <v>111.15</v>
      </c>
      <c r="K232" s="5" t="str">
        <f>RawData!H232</f>
        <v>North</v>
      </c>
      <c r="L232" s="5" t="str">
        <f t="shared" si="1"/>
        <v>Aug</v>
      </c>
    </row>
    <row r="233">
      <c r="A233" s="5" t="str">
        <f>RawData!A233</f>
        <v>ORD-5232</v>
      </c>
      <c r="B233" s="8">
        <f>RawData!B233</f>
        <v>45338</v>
      </c>
      <c r="C233" s="5" t="str">
        <f>RawData!C233</f>
        <v>C2421</v>
      </c>
      <c r="D233" s="5" t="str">
        <f>VLOOKUP(C233, Customers!A:B,2,FALSE)</f>
        <v/>
      </c>
      <c r="E233" s="5" t="str">
        <f>RawData!D233</f>
        <v>P1003</v>
      </c>
      <c r="G233" s="5" t="str">
        <f t="array" ref="G233">XLOOKUP(E233, Products!A:A, Products!C:C)</f>
        <v>Electronics</v>
      </c>
      <c r="H233" s="5">
        <f>RawData!E233</f>
        <v>3</v>
      </c>
      <c r="I233" s="5">
        <f>RawData!F233</f>
        <v>187.26</v>
      </c>
      <c r="J233" s="5">
        <f>RawData!G233</f>
        <v>561.78</v>
      </c>
      <c r="K233" s="5" t="str">
        <f>RawData!H233</f>
        <v>East</v>
      </c>
      <c r="L233" s="5" t="str">
        <f t="shared" si="1"/>
        <v>Feb</v>
      </c>
    </row>
    <row r="234">
      <c r="A234" s="5" t="str">
        <f>RawData!A234</f>
        <v>ORD-5233</v>
      </c>
      <c r="B234" s="8">
        <f>RawData!B234</f>
        <v>45041</v>
      </c>
      <c r="C234" s="5" t="str">
        <f>RawData!C234</f>
        <v>C2416</v>
      </c>
      <c r="D234" s="5" t="str">
        <f>VLOOKUP(C234, Customers!A:B,2,FALSE)</f>
        <v/>
      </c>
      <c r="E234" s="5" t="str">
        <f>RawData!D234</f>
        <v>P1019</v>
      </c>
      <c r="G234" s="5" t="str">
        <f t="array" ref="G234">XLOOKUP(E234, Products!A:A, Products!C:C)</f>
        <v>Electronics</v>
      </c>
      <c r="H234" s="5">
        <f>RawData!E234</f>
        <v>8</v>
      </c>
      <c r="I234" s="5">
        <f>RawData!F234</f>
        <v>193.29</v>
      </c>
      <c r="J234" s="5">
        <f>RawData!G234</f>
        <v>1546.32</v>
      </c>
      <c r="K234" s="5" t="str">
        <f>RawData!H234</f>
        <v>West</v>
      </c>
      <c r="L234" s="5" t="str">
        <f t="shared" si="1"/>
        <v>Apr</v>
      </c>
    </row>
    <row r="235">
      <c r="A235" s="5" t="str">
        <f>RawData!A235</f>
        <v>ORD-5234</v>
      </c>
      <c r="B235" s="8">
        <f>RawData!B235</f>
        <v>44834</v>
      </c>
      <c r="C235" s="5" t="str">
        <f>RawData!C235</f>
        <v>C2435</v>
      </c>
      <c r="D235" s="5" t="str">
        <f>VLOOKUP(C235, Customers!A:B,2,FALSE)</f>
        <v/>
      </c>
      <c r="E235" s="5" t="str">
        <f>RawData!D235</f>
        <v>P1003</v>
      </c>
      <c r="G235" s="5" t="str">
        <f t="array" ref="G235">XLOOKUP(E235, Products!A:A, Products!C:C)</f>
        <v>Electronics</v>
      </c>
      <c r="H235" s="5">
        <f>RawData!E235</f>
        <v>8</v>
      </c>
      <c r="I235" s="5">
        <f>RawData!F235</f>
        <v>187.26</v>
      </c>
      <c r="J235" s="5">
        <f>RawData!G235</f>
        <v>1498.08</v>
      </c>
      <c r="K235" s="5" t="str">
        <f>RawData!H235</f>
        <v>West</v>
      </c>
      <c r="L235" s="5" t="str">
        <f t="shared" si="1"/>
        <v>Sep</v>
      </c>
    </row>
    <row r="236">
      <c r="A236" s="5" t="str">
        <f>RawData!A236</f>
        <v>ORD-5235</v>
      </c>
      <c r="B236" s="8">
        <f>RawData!B236</f>
        <v>45097</v>
      </c>
      <c r="C236" s="5" t="str">
        <f>RawData!C236</f>
        <v>C2431</v>
      </c>
      <c r="D236" s="5" t="str">
        <f>VLOOKUP(C236, Customers!A:B,2,FALSE)</f>
        <v/>
      </c>
      <c r="E236" s="5" t="str">
        <f>RawData!D236</f>
        <v>P1011</v>
      </c>
      <c r="G236" s="5" t="str">
        <f t="array" ref="G236">XLOOKUP(E236, Products!A:A, Products!C:C)</f>
        <v>Home</v>
      </c>
      <c r="H236" s="5">
        <f>RawData!E236</f>
        <v>5</v>
      </c>
      <c r="I236" s="5">
        <f>RawData!F236</f>
        <v>114.21</v>
      </c>
      <c r="J236" s="5">
        <f>RawData!G236</f>
        <v>571.05</v>
      </c>
      <c r="K236" s="5" t="str">
        <f>RawData!H236</f>
        <v>North</v>
      </c>
      <c r="L236" s="5" t="str">
        <f t="shared" si="1"/>
        <v>Jun</v>
      </c>
    </row>
    <row r="237">
      <c r="A237" s="5" t="str">
        <f>RawData!A237</f>
        <v>ORD-5236</v>
      </c>
      <c r="B237" s="8">
        <f>RawData!B237</f>
        <v>45880</v>
      </c>
      <c r="C237" s="5" t="str">
        <f>RawData!C237</f>
        <v>C2332</v>
      </c>
      <c r="D237" s="5" t="str">
        <f>VLOOKUP(C237, Customers!A:B,2,FALSE)</f>
        <v/>
      </c>
      <c r="E237" s="5" t="str">
        <f>RawData!D237</f>
        <v>P1018</v>
      </c>
      <c r="G237" s="5" t="str">
        <f t="array" ref="G237">XLOOKUP(E237, Products!A:A, Products!C:C)</f>
        <v>Electronics</v>
      </c>
      <c r="H237" s="5">
        <f>RawData!E237</f>
        <v>2</v>
      </c>
      <c r="I237" s="5">
        <f>RawData!F237</f>
        <v>131.34</v>
      </c>
      <c r="J237" s="5">
        <f>RawData!G237</f>
        <v>262.68</v>
      </c>
      <c r="K237" s="5" t="str">
        <f>RawData!H237</f>
        <v>North</v>
      </c>
      <c r="L237" s="5" t="str">
        <f t="shared" si="1"/>
        <v>Aug</v>
      </c>
    </row>
    <row r="238">
      <c r="A238" s="5" t="str">
        <f>RawData!A238</f>
        <v>ORD-5237</v>
      </c>
      <c r="B238" s="8">
        <f>RawData!B238</f>
        <v>45781</v>
      </c>
      <c r="C238" s="5" t="str">
        <f>RawData!C238</f>
        <v>C2267</v>
      </c>
      <c r="D238" s="5" t="str">
        <f>VLOOKUP(C238, Customers!A:B,2,FALSE)</f>
        <v/>
      </c>
      <c r="E238" s="5" t="str">
        <f>RawData!D238</f>
        <v>P1020</v>
      </c>
      <c r="G238" s="5" t="str">
        <f t="array" ref="G238">XLOOKUP(E238, Products!A:A, Products!C:C)</f>
        <v>Furniture</v>
      </c>
      <c r="H238" s="5">
        <f>RawData!E238</f>
        <v>2</v>
      </c>
      <c r="I238" s="5">
        <f>RawData!F238</f>
        <v>94.59</v>
      </c>
      <c r="J238" s="5">
        <f>RawData!G238</f>
        <v>189.18</v>
      </c>
      <c r="K238" s="5" t="str">
        <f>RawData!H238</f>
        <v>South</v>
      </c>
      <c r="L238" s="5" t="str">
        <f t="shared" si="1"/>
        <v>May</v>
      </c>
    </row>
    <row r="239">
      <c r="A239" s="5" t="str">
        <f>RawData!A239</f>
        <v>ORD-5238</v>
      </c>
      <c r="B239" s="8">
        <f>RawData!B239</f>
        <v>45876</v>
      </c>
      <c r="C239" s="5" t="str">
        <f>RawData!C239</f>
        <v>C2112</v>
      </c>
      <c r="D239" s="5" t="str">
        <f>VLOOKUP(C239, Customers!A:B,2,FALSE)</f>
        <v/>
      </c>
      <c r="E239" s="5" t="str">
        <f>RawData!D239</f>
        <v>P1003</v>
      </c>
      <c r="G239" s="5" t="str">
        <f t="array" ref="G239">XLOOKUP(E239, Products!A:A, Products!C:C)</f>
        <v>Electronics</v>
      </c>
      <c r="H239" s="5">
        <f>RawData!E239</f>
        <v>9</v>
      </c>
      <c r="I239" s="5">
        <f>RawData!F239</f>
        <v>187.26</v>
      </c>
      <c r="J239" s="5">
        <f>RawData!G239</f>
        <v>1685.34</v>
      </c>
      <c r="K239" s="5" t="str">
        <f>RawData!H239</f>
        <v>South</v>
      </c>
      <c r="L239" s="5" t="str">
        <f t="shared" si="1"/>
        <v>Aug</v>
      </c>
    </row>
    <row r="240">
      <c r="A240" s="5" t="str">
        <f>RawData!A240</f>
        <v>ORD-5239</v>
      </c>
      <c r="B240" s="8">
        <f>RawData!B240</f>
        <v>45330</v>
      </c>
      <c r="C240" s="5" t="str">
        <f>RawData!C240</f>
        <v>C2221</v>
      </c>
      <c r="D240" s="5" t="str">
        <f>VLOOKUP(C240, Customers!A:B,2,FALSE)</f>
        <v/>
      </c>
      <c r="E240" s="5" t="str">
        <f>RawData!D240</f>
        <v>P1024</v>
      </c>
      <c r="G240" s="5" t="str">
        <f t="array" ref="G240">XLOOKUP(E240, Products!A:A, Products!C:C)</f>
        <v>Electronics</v>
      </c>
      <c r="H240" s="5">
        <f>RawData!E240</f>
        <v>10</v>
      </c>
      <c r="I240" s="5">
        <f>RawData!F240</f>
        <v>122.33</v>
      </c>
      <c r="J240" s="5">
        <f>RawData!G240</f>
        <v>1223.3</v>
      </c>
      <c r="K240" s="5" t="str">
        <f>RawData!H240</f>
        <v>East</v>
      </c>
      <c r="L240" s="5" t="str">
        <f t="shared" si="1"/>
        <v>Feb</v>
      </c>
    </row>
    <row r="241">
      <c r="A241" s="5" t="str">
        <f>RawData!A241</f>
        <v>ORD-5240</v>
      </c>
      <c r="B241" s="8">
        <f>RawData!B241</f>
        <v>45623</v>
      </c>
      <c r="C241" s="5" t="str">
        <f>RawData!C241</f>
        <v>C2455</v>
      </c>
      <c r="D241" s="5" t="str">
        <f>VLOOKUP(C241, Customers!A:B,2,FALSE)</f>
        <v>Ethan Ward</v>
      </c>
      <c r="E241" s="5" t="str">
        <f>RawData!D241</f>
        <v>P1040</v>
      </c>
      <c r="G241" s="5" t="str">
        <f t="array" ref="G241">XLOOKUP(E241, Products!A:A, Products!C:C)</f>
        <v>Furniture</v>
      </c>
      <c r="H241" s="5">
        <f>RawData!E241</f>
        <v>1</v>
      </c>
      <c r="I241" s="5">
        <f>RawData!F241</f>
        <v>161.81</v>
      </c>
      <c r="J241" s="5">
        <f>RawData!G241</f>
        <v>161.81</v>
      </c>
      <c r="K241" s="5" t="str">
        <f>RawData!H241</f>
        <v>West</v>
      </c>
      <c r="L241" s="5" t="str">
        <f t="shared" si="1"/>
        <v>Nov</v>
      </c>
    </row>
    <row r="242">
      <c r="A242" s="5" t="str">
        <f>RawData!A242</f>
        <v>ORD-5241</v>
      </c>
      <c r="B242" s="8">
        <f>RawData!B242</f>
        <v>45499</v>
      </c>
      <c r="C242" s="5" t="str">
        <f>RawData!C242</f>
        <v>C2021</v>
      </c>
      <c r="D242" s="5" t="str">
        <f>VLOOKUP(C242, Customers!A:B,2,FALSE)</f>
        <v/>
      </c>
      <c r="E242" s="5" t="str">
        <f>RawData!D242</f>
        <v>P1003</v>
      </c>
      <c r="G242" s="5" t="str">
        <f t="array" ref="G242">XLOOKUP(E242, Products!A:A, Products!C:C)</f>
        <v>Electronics</v>
      </c>
      <c r="H242" s="5">
        <f>RawData!E242</f>
        <v>3</v>
      </c>
      <c r="I242" s="5">
        <f>RawData!F242</f>
        <v>187.26</v>
      </c>
      <c r="J242" s="5">
        <f>RawData!G242</f>
        <v>561.78</v>
      </c>
      <c r="K242" s="5" t="str">
        <f>RawData!H242</f>
        <v>North</v>
      </c>
      <c r="L242" s="5" t="str">
        <f t="shared" si="1"/>
        <v>Jul</v>
      </c>
    </row>
    <row r="243">
      <c r="A243" s="5" t="str">
        <f>RawData!A243</f>
        <v>ORD-5242</v>
      </c>
      <c r="B243" s="8">
        <f>RawData!B243</f>
        <v>46020</v>
      </c>
      <c r="C243" s="5" t="str">
        <f>RawData!C243</f>
        <v>C2050</v>
      </c>
      <c r="D243" s="5" t="str">
        <f>VLOOKUP(C243, Customers!A:B,2,FALSE)</f>
        <v/>
      </c>
      <c r="E243" s="5" t="str">
        <f>RawData!D243</f>
        <v>P1024</v>
      </c>
      <c r="G243" s="5" t="str">
        <f t="array" ref="G243">XLOOKUP(E243, Products!A:A, Products!C:C)</f>
        <v>Electronics</v>
      </c>
      <c r="H243" s="5">
        <f>RawData!E243</f>
        <v>1</v>
      </c>
      <c r="I243" s="5">
        <f>RawData!F243</f>
        <v>122.33</v>
      </c>
      <c r="J243" s="5">
        <f>RawData!G243</f>
        <v>122.33</v>
      </c>
      <c r="K243" s="5" t="str">
        <f>RawData!H243</f>
        <v>North</v>
      </c>
      <c r="L243" s="5" t="str">
        <f t="shared" si="1"/>
        <v>Dec</v>
      </c>
    </row>
    <row r="244">
      <c r="A244" s="5" t="str">
        <f>RawData!A244</f>
        <v>ORD-5243</v>
      </c>
      <c r="B244" s="8">
        <f>RawData!B244</f>
        <v>45475</v>
      </c>
      <c r="C244" s="5" t="str">
        <f>RawData!C244</f>
        <v>C2064</v>
      </c>
      <c r="D244" s="5" t="str">
        <f>VLOOKUP(C244, Customers!A:B,2,FALSE)</f>
        <v/>
      </c>
      <c r="E244" s="5" t="str">
        <f>RawData!D244</f>
        <v>P1002</v>
      </c>
      <c r="G244" s="5" t="str">
        <f t="array" ref="G244">XLOOKUP(E244, Products!A:A, Products!C:C)</f>
        <v>Furniture</v>
      </c>
      <c r="H244" s="5">
        <f>RawData!E244</f>
        <v>9</v>
      </c>
      <c r="I244" s="5">
        <f>RawData!F244</f>
        <v>109.31</v>
      </c>
      <c r="J244" s="5">
        <f>RawData!G244</f>
        <v>983.79</v>
      </c>
      <c r="K244" s="5" t="str">
        <f>RawData!H244</f>
        <v>North</v>
      </c>
      <c r="L244" s="5" t="str">
        <f t="shared" si="1"/>
        <v>Jul</v>
      </c>
    </row>
    <row r="245">
      <c r="A245" s="5" t="str">
        <f>RawData!A245</f>
        <v>ORD-5244</v>
      </c>
      <c r="B245" s="8">
        <f>RawData!B245</f>
        <v>44909</v>
      </c>
      <c r="C245" s="5" t="str">
        <f>RawData!C245</f>
        <v>C2375</v>
      </c>
      <c r="D245" s="5" t="str">
        <f>VLOOKUP(C245, Customers!A:B,2,FALSE)</f>
        <v/>
      </c>
      <c r="E245" s="5" t="str">
        <f>RawData!D245</f>
        <v>P1041</v>
      </c>
      <c r="G245" s="5" t="str">
        <f t="array" ref="G245">XLOOKUP(E245, Products!A:A, Products!C:C)</f>
        <v>Furniture</v>
      </c>
      <c r="H245" s="5">
        <f>RawData!E245</f>
        <v>1</v>
      </c>
      <c r="I245" s="5">
        <f>RawData!F245</f>
        <v>133.47</v>
      </c>
      <c r="J245" s="5">
        <f>RawData!G245</f>
        <v>133.47</v>
      </c>
      <c r="K245" s="5" t="str">
        <f>RawData!H245</f>
        <v>South</v>
      </c>
      <c r="L245" s="5" t="str">
        <f t="shared" si="1"/>
        <v>Dec</v>
      </c>
    </row>
    <row r="246">
      <c r="A246" s="5" t="str">
        <f>RawData!A246</f>
        <v>ORD-5245</v>
      </c>
      <c r="B246" s="8">
        <f>RawData!B246</f>
        <v>45024</v>
      </c>
      <c r="C246" s="5" t="str">
        <f>RawData!C246</f>
        <v>C2397</v>
      </c>
      <c r="D246" s="5" t="str">
        <f>VLOOKUP(C246, Customers!A:B,2,FALSE)</f>
        <v/>
      </c>
      <c r="E246" s="5" t="str">
        <f>RawData!D246</f>
        <v>P1028</v>
      </c>
      <c r="G246" s="5" t="str">
        <f t="array" ref="G246">XLOOKUP(E246, Products!A:A, Products!C:C)</f>
        <v>Furniture</v>
      </c>
      <c r="H246" s="5">
        <f>RawData!E246</f>
        <v>9</v>
      </c>
      <c r="I246" s="5">
        <f>RawData!F246</f>
        <v>82.34</v>
      </c>
      <c r="J246" s="5">
        <f>RawData!G246</f>
        <v>741.06</v>
      </c>
      <c r="K246" s="5" t="str">
        <f>RawData!H246</f>
        <v>South</v>
      </c>
      <c r="L246" s="5" t="str">
        <f t="shared" si="1"/>
        <v>Apr</v>
      </c>
    </row>
    <row r="247">
      <c r="A247" s="5" t="str">
        <f>RawData!A247</f>
        <v>ORD-5246</v>
      </c>
      <c r="B247" s="8">
        <f>RawData!B247</f>
        <v>45046</v>
      </c>
      <c r="C247" s="5" t="str">
        <f>RawData!C247</f>
        <v>C2342</v>
      </c>
      <c r="D247" s="5" t="str">
        <f>VLOOKUP(C247, Customers!A:B,2,FALSE)</f>
        <v/>
      </c>
      <c r="E247" s="5" t="str">
        <f>RawData!D247</f>
        <v>P1038</v>
      </c>
      <c r="G247" s="5" t="str">
        <f t="array" ref="G247">XLOOKUP(E247, Products!A:A, Products!C:C)</f>
        <v>Accessories</v>
      </c>
      <c r="H247" s="5">
        <f>RawData!E247</f>
        <v>4</v>
      </c>
      <c r="I247" s="5">
        <f>RawData!F247</f>
        <v>73.93</v>
      </c>
      <c r="J247" s="5">
        <f>RawData!G247</f>
        <v>295.72</v>
      </c>
      <c r="K247" s="5" t="str">
        <f>RawData!H247</f>
        <v>East</v>
      </c>
      <c r="L247" s="5" t="str">
        <f t="shared" si="1"/>
        <v>Apr</v>
      </c>
    </row>
    <row r="248">
      <c r="A248" s="5" t="str">
        <f>RawData!A248</f>
        <v>ORD-5247</v>
      </c>
      <c r="B248" s="8">
        <f>RawData!B248</f>
        <v>45863</v>
      </c>
      <c r="C248" s="5" t="str">
        <f>RawData!C248</f>
        <v>C2286</v>
      </c>
      <c r="D248" s="5" t="str">
        <f>VLOOKUP(C248, Customers!A:B,2,FALSE)</f>
        <v/>
      </c>
      <c r="E248" s="5" t="str">
        <f>RawData!D248</f>
        <v>P1030</v>
      </c>
      <c r="G248" s="5" t="str">
        <f t="array" ref="G248">XLOOKUP(E248, Products!A:A, Products!C:C)</f>
        <v>Electronics</v>
      </c>
      <c r="H248" s="5">
        <f>RawData!E248</f>
        <v>8</v>
      </c>
      <c r="I248" s="5">
        <f>RawData!F248</f>
        <v>100.65</v>
      </c>
      <c r="J248" s="5">
        <f>RawData!G248</f>
        <v>805.2</v>
      </c>
      <c r="K248" s="5" t="str">
        <f>RawData!H248</f>
        <v>East</v>
      </c>
      <c r="L248" s="5" t="str">
        <f t="shared" si="1"/>
        <v>Jul</v>
      </c>
    </row>
    <row r="249">
      <c r="A249" s="5" t="str">
        <f>RawData!A249</f>
        <v>ORD-5248</v>
      </c>
      <c r="B249" s="8">
        <f>RawData!B249</f>
        <v>45637</v>
      </c>
      <c r="C249" s="5" t="str">
        <f>RawData!C249</f>
        <v>C2437</v>
      </c>
      <c r="D249" s="5" t="str">
        <f>VLOOKUP(C249, Customers!A:B,2,FALSE)</f>
        <v/>
      </c>
      <c r="E249" s="5" t="str">
        <f>RawData!D249</f>
        <v>P1005</v>
      </c>
      <c r="G249" s="5" t="str">
        <f t="array" ref="G249">XLOOKUP(E249, Products!A:A, Products!C:C)</f>
        <v>Furniture</v>
      </c>
      <c r="H249" s="5">
        <f>RawData!E249</f>
        <v>8</v>
      </c>
      <c r="I249" s="5">
        <f>RawData!F249</f>
        <v>160.49</v>
      </c>
      <c r="J249" s="5">
        <f>RawData!G249</f>
        <v>1283.92</v>
      </c>
      <c r="K249" s="5" t="str">
        <f>RawData!H249</f>
        <v>West</v>
      </c>
      <c r="L249" s="5" t="str">
        <f t="shared" si="1"/>
        <v>Dec</v>
      </c>
    </row>
    <row r="250">
      <c r="A250" s="5" t="str">
        <f>RawData!A250</f>
        <v>ORD-5249</v>
      </c>
      <c r="B250" s="8">
        <f>RawData!B250</f>
        <v>45913</v>
      </c>
      <c r="C250" s="5" t="str">
        <f>RawData!C250</f>
        <v>C2152</v>
      </c>
      <c r="D250" s="5" t="str">
        <f>VLOOKUP(C250, Customers!A:B,2,FALSE)</f>
        <v/>
      </c>
      <c r="E250" s="5" t="str">
        <f>RawData!D250</f>
        <v>P1011</v>
      </c>
      <c r="G250" s="5" t="str">
        <f t="array" ref="G250">XLOOKUP(E250, Products!A:A, Products!C:C)</f>
        <v>Home</v>
      </c>
      <c r="H250" s="5">
        <f>RawData!E250</f>
        <v>9</v>
      </c>
      <c r="I250" s="5">
        <f>RawData!F250</f>
        <v>114.21</v>
      </c>
      <c r="J250" s="5">
        <f>RawData!G250</f>
        <v>1027.89</v>
      </c>
      <c r="K250" s="5" t="str">
        <f>RawData!H250</f>
        <v>North</v>
      </c>
      <c r="L250" s="5" t="str">
        <f t="shared" si="1"/>
        <v>Sep</v>
      </c>
    </row>
    <row r="251">
      <c r="A251" s="5" t="str">
        <f>RawData!A251</f>
        <v>ORD-5250</v>
      </c>
      <c r="B251" s="8">
        <f>RawData!B251</f>
        <v>45909</v>
      </c>
      <c r="C251" s="5" t="str">
        <f>RawData!C251</f>
        <v>C2027</v>
      </c>
      <c r="D251" s="5" t="str">
        <f>VLOOKUP(C251, Customers!A:B,2,FALSE)</f>
        <v/>
      </c>
      <c r="E251" s="5" t="str">
        <f>RawData!D251</f>
        <v>P1017</v>
      </c>
      <c r="G251" s="5" t="str">
        <f t="array" ref="G251">XLOOKUP(E251, Products!A:A, Products!C:C)</f>
        <v>Furniture</v>
      </c>
      <c r="H251" s="5">
        <f>RawData!E251</f>
        <v>5</v>
      </c>
      <c r="I251" s="5">
        <f>RawData!F251</f>
        <v>43.15</v>
      </c>
      <c r="J251" s="5">
        <f>RawData!G251</f>
        <v>215.75</v>
      </c>
      <c r="K251" s="5" t="str">
        <f>RawData!H251</f>
        <v>North</v>
      </c>
      <c r="L251" s="5" t="str">
        <f t="shared" si="1"/>
        <v>Sep</v>
      </c>
    </row>
    <row r="252">
      <c r="A252" s="5" t="str">
        <f>RawData!A252</f>
        <v>ORD-5251</v>
      </c>
      <c r="B252" s="8">
        <f>RawData!B252</f>
        <v>45983</v>
      </c>
      <c r="C252" s="5" t="str">
        <f>RawData!C252</f>
        <v>C2402</v>
      </c>
      <c r="D252" s="5" t="str">
        <f>VLOOKUP(C252, Customers!A:B,2,FALSE)</f>
        <v/>
      </c>
      <c r="E252" s="5" t="str">
        <f>RawData!D252</f>
        <v>P1048</v>
      </c>
      <c r="G252" s="5" t="str">
        <f t="array" ref="G252">XLOOKUP(E252, Products!A:A, Products!C:C)</f>
        <v>Accessories</v>
      </c>
      <c r="H252" s="5">
        <f>RawData!E252</f>
        <v>4</v>
      </c>
      <c r="I252" s="5">
        <f>RawData!F252</f>
        <v>174.29</v>
      </c>
      <c r="J252" s="5">
        <f>RawData!G252</f>
        <v>697.16</v>
      </c>
      <c r="K252" s="5" t="str">
        <f>RawData!H252</f>
        <v>South</v>
      </c>
      <c r="L252" s="5" t="str">
        <f t="shared" si="1"/>
        <v>Nov</v>
      </c>
    </row>
    <row r="253">
      <c r="A253" s="5" t="str">
        <f>RawData!A253</f>
        <v>ORD-5252</v>
      </c>
      <c r="B253" s="8">
        <f>RawData!B253</f>
        <v>44588</v>
      </c>
      <c r="C253" s="5" t="str">
        <f>RawData!C253</f>
        <v>C2260</v>
      </c>
      <c r="D253" s="5" t="str">
        <f>VLOOKUP(C253, Customers!A:B,2,FALSE)</f>
        <v/>
      </c>
      <c r="E253" s="5" t="str">
        <f>RawData!D253</f>
        <v>P1010</v>
      </c>
      <c r="G253" s="5" t="str">
        <f t="array" ref="G253">XLOOKUP(E253, Products!A:A, Products!C:C)</f>
        <v>Electronics</v>
      </c>
      <c r="H253" s="5">
        <f>RawData!E253</f>
        <v>4</v>
      </c>
      <c r="I253" s="5">
        <f>RawData!F253</f>
        <v>75.41</v>
      </c>
      <c r="J253" s="5">
        <f>RawData!G253</f>
        <v>301.64</v>
      </c>
      <c r="K253" s="5" t="str">
        <f>RawData!H253</f>
        <v>North</v>
      </c>
      <c r="L253" s="5" t="str">
        <f t="shared" si="1"/>
        <v>Jan</v>
      </c>
    </row>
    <row r="254">
      <c r="A254" s="5" t="str">
        <f>RawData!A254</f>
        <v>ORD-5253</v>
      </c>
      <c r="B254" s="8">
        <f>RawData!B254</f>
        <v>44805</v>
      </c>
      <c r="C254" s="5" t="str">
        <f>RawData!C254</f>
        <v>C2338</v>
      </c>
      <c r="D254" s="5" t="str">
        <f>VLOOKUP(C254, Customers!A:B,2,FALSE)</f>
        <v/>
      </c>
      <c r="E254" s="5" t="str">
        <f>RawData!D254</f>
        <v>P1018</v>
      </c>
      <c r="G254" s="5" t="str">
        <f t="array" ref="G254">XLOOKUP(E254, Products!A:A, Products!C:C)</f>
        <v>Electronics</v>
      </c>
      <c r="H254" s="5">
        <f>RawData!E254</f>
        <v>1</v>
      </c>
      <c r="I254" s="5">
        <f>RawData!F254</f>
        <v>131.34</v>
      </c>
      <c r="J254" s="5">
        <f>RawData!G254</f>
        <v>131.34</v>
      </c>
      <c r="K254" s="5" t="str">
        <f>RawData!H254</f>
        <v>North</v>
      </c>
      <c r="L254" s="5" t="str">
        <f t="shared" si="1"/>
        <v>Sep</v>
      </c>
    </row>
    <row r="255">
      <c r="A255" s="5" t="str">
        <f>RawData!A255</f>
        <v>ORD-5254</v>
      </c>
      <c r="B255" s="8">
        <f>RawData!B255</f>
        <v>46080</v>
      </c>
      <c r="C255" s="5" t="str">
        <f>RawData!C255</f>
        <v>C2222</v>
      </c>
      <c r="D255" s="5" t="str">
        <f>VLOOKUP(C255, Customers!A:B,2,FALSE)</f>
        <v/>
      </c>
      <c r="E255" s="5" t="str">
        <f>RawData!D255</f>
        <v>P1047</v>
      </c>
      <c r="G255" s="5" t="str">
        <f t="array" ref="G255">XLOOKUP(E255, Products!A:A, Products!C:C)</f>
        <v>Electronics</v>
      </c>
      <c r="H255" s="5">
        <f>RawData!E255</f>
        <v>1</v>
      </c>
      <c r="I255" s="5">
        <f>RawData!F255</f>
        <v>73.45</v>
      </c>
      <c r="J255" s="5">
        <f>RawData!G255</f>
        <v>73.45</v>
      </c>
      <c r="K255" s="5" t="str">
        <f>RawData!H255</f>
        <v>East</v>
      </c>
      <c r="L255" s="5" t="str">
        <f t="shared" si="1"/>
        <v>Feb</v>
      </c>
    </row>
    <row r="256">
      <c r="A256" s="5" t="str">
        <f>RawData!A256</f>
        <v>ORD-5255</v>
      </c>
      <c r="B256" s="8">
        <f>RawData!B256</f>
        <v>45163</v>
      </c>
      <c r="C256" s="5" t="str">
        <f>RawData!C256</f>
        <v>C2472</v>
      </c>
      <c r="D256" s="5" t="str">
        <f>VLOOKUP(C256, Customers!A:B,2,FALSE)</f>
        <v/>
      </c>
      <c r="E256" s="5" t="str">
        <f>RawData!D256</f>
        <v>P1032</v>
      </c>
      <c r="G256" s="5" t="str">
        <f t="array" ref="G256">XLOOKUP(E256, Products!A:A, Products!C:C)</f>
        <v>Fashion</v>
      </c>
      <c r="H256" s="5">
        <f>RawData!E256</f>
        <v>3</v>
      </c>
      <c r="I256" s="5">
        <f>RawData!F256</f>
        <v>52.33</v>
      </c>
      <c r="J256" s="5">
        <f>RawData!G256</f>
        <v>156.99</v>
      </c>
      <c r="K256" s="5" t="str">
        <f>RawData!H256</f>
        <v>North</v>
      </c>
      <c r="L256" s="5" t="str">
        <f t="shared" si="1"/>
        <v>Aug</v>
      </c>
    </row>
    <row r="257">
      <c r="A257" s="5" t="str">
        <f>RawData!A257</f>
        <v>ORD-5256</v>
      </c>
      <c r="B257" s="8">
        <f>RawData!B257</f>
        <v>45105</v>
      </c>
      <c r="C257" s="5" t="str">
        <f>RawData!C257</f>
        <v>C2382</v>
      </c>
      <c r="D257" s="5" t="str">
        <f>VLOOKUP(C257, Customers!A:B,2,FALSE)</f>
        <v>Henry Morgan</v>
      </c>
      <c r="E257" s="5" t="str">
        <f>RawData!D257</f>
        <v>P1022</v>
      </c>
      <c r="G257" s="5" t="str">
        <f t="array" ref="G257">XLOOKUP(E257, Products!A:A, Products!C:C)</f>
        <v>Accessories</v>
      </c>
      <c r="H257" s="5">
        <f>RawData!E257</f>
        <v>2</v>
      </c>
      <c r="I257" s="5">
        <f>RawData!F257</f>
        <v>164.53</v>
      </c>
      <c r="J257" s="5">
        <f>RawData!G257</f>
        <v>329.06</v>
      </c>
      <c r="K257" s="5" t="str">
        <f>RawData!H257</f>
        <v>West</v>
      </c>
      <c r="L257" s="5" t="str">
        <f t="shared" si="1"/>
        <v>Jun</v>
      </c>
    </row>
    <row r="258">
      <c r="A258" s="5" t="str">
        <f>RawData!A258</f>
        <v>ORD-5257</v>
      </c>
      <c r="B258" s="8">
        <f>RawData!B258</f>
        <v>45120</v>
      </c>
      <c r="C258" s="5" t="str">
        <f>RawData!C258</f>
        <v>C2042</v>
      </c>
      <c r="D258" s="5" t="str">
        <f>VLOOKUP(C258, Customers!A:B,2,FALSE)</f>
        <v/>
      </c>
      <c r="E258" s="5" t="str">
        <f>RawData!D258</f>
        <v>P1023</v>
      </c>
      <c r="G258" s="5" t="str">
        <f t="array" ref="G258">XLOOKUP(E258, Products!A:A, Products!C:C)</f>
        <v>Fashion</v>
      </c>
      <c r="H258" s="5">
        <f>RawData!E258</f>
        <v>4</v>
      </c>
      <c r="I258" s="5">
        <f>RawData!F258</f>
        <v>70.71</v>
      </c>
      <c r="J258" s="5">
        <f>RawData!G258</f>
        <v>282.84</v>
      </c>
      <c r="K258" s="5" t="str">
        <f>RawData!H258</f>
        <v>South</v>
      </c>
      <c r="L258" s="5" t="str">
        <f t="shared" si="1"/>
        <v>Jul</v>
      </c>
    </row>
    <row r="259">
      <c r="A259" s="5" t="str">
        <f>RawData!A259</f>
        <v>ORD-5258</v>
      </c>
      <c r="B259" s="8">
        <f>RawData!B259</f>
        <v>45483</v>
      </c>
      <c r="C259" s="5" t="str">
        <f>RawData!C259</f>
        <v>C2144</v>
      </c>
      <c r="D259" s="5" t="str">
        <f>VLOOKUP(C259, Customers!A:B,2,FALSE)</f>
        <v/>
      </c>
      <c r="E259" s="5" t="str">
        <f>RawData!D259</f>
        <v>P1011</v>
      </c>
      <c r="G259" s="5" t="str">
        <f t="array" ref="G259">XLOOKUP(E259, Products!A:A, Products!C:C)</f>
        <v>Home</v>
      </c>
      <c r="H259" s="5">
        <f>RawData!E259</f>
        <v>9</v>
      </c>
      <c r="I259" s="5">
        <f>RawData!F259</f>
        <v>114.21</v>
      </c>
      <c r="J259" s="5">
        <f>RawData!G259</f>
        <v>1027.89</v>
      </c>
      <c r="K259" s="5" t="str">
        <f>RawData!H259</f>
        <v>West</v>
      </c>
      <c r="L259" s="5" t="str">
        <f t="shared" si="1"/>
        <v>Jul</v>
      </c>
    </row>
    <row r="260">
      <c r="A260" s="5" t="str">
        <f>RawData!A260</f>
        <v>ORD-5259</v>
      </c>
      <c r="B260" s="8">
        <f>RawData!B260</f>
        <v>45940</v>
      </c>
      <c r="C260" s="5" t="str">
        <f>RawData!C260</f>
        <v>C2046</v>
      </c>
      <c r="D260" s="5" t="str">
        <f>VLOOKUP(C260, Customers!A:B,2,FALSE)</f>
        <v/>
      </c>
      <c r="E260" s="5" t="str">
        <f>RawData!D260</f>
        <v>P1029</v>
      </c>
      <c r="G260" s="5" t="str">
        <f t="array" ref="G260">XLOOKUP(E260, Products!A:A, Products!C:C)</f>
        <v>Furniture</v>
      </c>
      <c r="H260" s="5">
        <f>RawData!E260</f>
        <v>8</v>
      </c>
      <c r="I260" s="5">
        <f>RawData!F260</f>
        <v>104.81</v>
      </c>
      <c r="J260" s="5">
        <f>RawData!G260</f>
        <v>838.48</v>
      </c>
      <c r="K260" s="5" t="str">
        <f>RawData!H260</f>
        <v>West</v>
      </c>
      <c r="L260" s="5" t="str">
        <f t="shared" si="1"/>
        <v>Oct</v>
      </c>
    </row>
    <row r="261">
      <c r="A261" s="5" t="str">
        <f>RawData!A261</f>
        <v>ORD-5260</v>
      </c>
      <c r="B261" s="8">
        <f>RawData!B261</f>
        <v>45610</v>
      </c>
      <c r="C261" s="5" t="str">
        <f>RawData!C261</f>
        <v>C2396</v>
      </c>
      <c r="D261" s="5" t="str">
        <f>VLOOKUP(C261, Customers!A:B,2,FALSE)</f>
        <v/>
      </c>
      <c r="E261" s="5" t="str">
        <f>RawData!D261</f>
        <v>P1027</v>
      </c>
      <c r="G261" s="5" t="str">
        <f t="array" ref="G261">XLOOKUP(E261, Products!A:A, Products!C:C)</f>
        <v>Fashion</v>
      </c>
      <c r="H261" s="5">
        <f>RawData!E261</f>
        <v>10</v>
      </c>
      <c r="I261" s="5">
        <f>RawData!F261</f>
        <v>152.99</v>
      </c>
      <c r="J261" s="5">
        <f>RawData!G261</f>
        <v>1529.9</v>
      </c>
      <c r="K261" s="5" t="str">
        <f>RawData!H261</f>
        <v>East</v>
      </c>
      <c r="L261" s="5" t="str">
        <f t="shared" si="1"/>
        <v>Nov</v>
      </c>
    </row>
    <row r="262">
      <c r="A262" s="5" t="str">
        <f>RawData!A262</f>
        <v>ORD-5261</v>
      </c>
      <c r="B262" s="8">
        <f>RawData!B262</f>
        <v>45777</v>
      </c>
      <c r="C262" s="5" t="str">
        <f>RawData!C262</f>
        <v>C2165</v>
      </c>
      <c r="D262" s="5" t="str">
        <f>VLOOKUP(C262, Customers!A:B,2,FALSE)</f>
        <v/>
      </c>
      <c r="E262" s="5" t="str">
        <f>RawData!D262</f>
        <v>P1036</v>
      </c>
      <c r="G262" s="5" t="str">
        <f t="array" ref="G262">XLOOKUP(E262, Products!A:A, Products!C:C)</f>
        <v>Fashion</v>
      </c>
      <c r="H262" s="5">
        <f>RawData!E262</f>
        <v>2</v>
      </c>
      <c r="I262" s="5">
        <f>RawData!F262</f>
        <v>146.68</v>
      </c>
      <c r="J262" s="5">
        <f>RawData!G262</f>
        <v>293.36</v>
      </c>
      <c r="K262" s="5" t="str">
        <f>RawData!H262</f>
        <v>West</v>
      </c>
      <c r="L262" s="5" t="str">
        <f t="shared" si="1"/>
        <v>Apr</v>
      </c>
    </row>
    <row r="263">
      <c r="A263" s="5" t="str">
        <f>RawData!A263</f>
        <v>ORD-5262</v>
      </c>
      <c r="B263" s="8">
        <f>RawData!B263</f>
        <v>44852</v>
      </c>
      <c r="C263" s="5" t="str">
        <f>RawData!C263</f>
        <v>C2409</v>
      </c>
      <c r="D263" s="5" t="str">
        <f>VLOOKUP(C263, Customers!A:B,2,FALSE)</f>
        <v/>
      </c>
      <c r="E263" s="5" t="str">
        <f>RawData!D263</f>
        <v>P1011</v>
      </c>
      <c r="G263" s="5" t="str">
        <f t="array" ref="G263">XLOOKUP(E263, Products!A:A, Products!C:C)</f>
        <v>Home</v>
      </c>
      <c r="H263" s="5">
        <f>RawData!E263</f>
        <v>9</v>
      </c>
      <c r="I263" s="5">
        <f>RawData!F263</f>
        <v>114.21</v>
      </c>
      <c r="J263" s="5">
        <f>RawData!G263</f>
        <v>1027.89</v>
      </c>
      <c r="K263" s="5" t="str">
        <f>RawData!H263</f>
        <v>North</v>
      </c>
      <c r="L263" s="5" t="str">
        <f t="shared" si="1"/>
        <v>Oct</v>
      </c>
    </row>
    <row r="264">
      <c r="A264" s="5" t="str">
        <f>RawData!A264</f>
        <v>ORD-5263</v>
      </c>
      <c r="B264" s="8">
        <f>RawData!B264</f>
        <v>45518</v>
      </c>
      <c r="C264" s="5" t="str">
        <f>RawData!C264</f>
        <v>C2411</v>
      </c>
      <c r="D264" s="5" t="str">
        <f>VLOOKUP(C264, Customers!A:B,2,FALSE)</f>
        <v/>
      </c>
      <c r="E264" s="5" t="str">
        <f>RawData!D264</f>
        <v>P1009</v>
      </c>
      <c r="G264" s="5" t="str">
        <f t="array" ref="G264">XLOOKUP(E264, Products!A:A, Products!C:C)</f>
        <v>Electronics</v>
      </c>
      <c r="H264" s="5">
        <f>RawData!E264</f>
        <v>6</v>
      </c>
      <c r="I264" s="5">
        <f>RawData!F264</f>
        <v>74.83</v>
      </c>
      <c r="J264" s="5">
        <f>RawData!G264</f>
        <v>448.98</v>
      </c>
      <c r="K264" s="5" t="str">
        <f>RawData!H264</f>
        <v>West</v>
      </c>
      <c r="L264" s="5" t="str">
        <f t="shared" si="1"/>
        <v>Aug</v>
      </c>
    </row>
    <row r="265">
      <c r="A265" s="5" t="str">
        <f>RawData!A265</f>
        <v>ORD-5264</v>
      </c>
      <c r="B265" s="8">
        <f>RawData!B265</f>
        <v>45857</v>
      </c>
      <c r="C265" s="5" t="str">
        <f>RawData!C265</f>
        <v>C2469</v>
      </c>
      <c r="D265" s="5" t="str">
        <f>VLOOKUP(C265, Customers!A:B,2,FALSE)</f>
        <v/>
      </c>
      <c r="E265" s="5" t="str">
        <f>RawData!D265</f>
        <v>P1036</v>
      </c>
      <c r="G265" s="5" t="str">
        <f t="array" ref="G265">XLOOKUP(E265, Products!A:A, Products!C:C)</f>
        <v>Fashion</v>
      </c>
      <c r="H265" s="5">
        <f>RawData!E265</f>
        <v>10</v>
      </c>
      <c r="I265" s="5">
        <f>RawData!F265</f>
        <v>146.68</v>
      </c>
      <c r="J265" s="5">
        <f>RawData!G265</f>
        <v>1466.8</v>
      </c>
      <c r="K265" s="5" t="str">
        <f>RawData!H265</f>
        <v>West</v>
      </c>
      <c r="L265" s="5" t="str">
        <f t="shared" si="1"/>
        <v>Jul</v>
      </c>
    </row>
    <row r="266">
      <c r="A266" s="5" t="str">
        <f>RawData!A266</f>
        <v>ORD-5265</v>
      </c>
      <c r="B266" s="8">
        <f>RawData!B266</f>
        <v>46084</v>
      </c>
      <c r="C266" s="5" t="str">
        <f>RawData!C266</f>
        <v>C2170</v>
      </c>
      <c r="D266" s="5" t="str">
        <f>VLOOKUP(C266, Customers!A:B,2,FALSE)</f>
        <v>Hannah Perry</v>
      </c>
      <c r="E266" s="5" t="str">
        <f>RawData!D266</f>
        <v>P1049</v>
      </c>
      <c r="G266" s="5" t="str">
        <f t="array" ref="G266">XLOOKUP(E266, Products!A:A, Products!C:C)</f>
        <v>Accessories</v>
      </c>
      <c r="H266" s="5">
        <f>RawData!E266</f>
        <v>3</v>
      </c>
      <c r="I266" s="5">
        <f>RawData!F266</f>
        <v>62.86</v>
      </c>
      <c r="J266" s="5">
        <f>RawData!G266</f>
        <v>188.58</v>
      </c>
      <c r="K266" s="5" t="str">
        <f>RawData!H266</f>
        <v>North</v>
      </c>
      <c r="L266" s="5" t="str">
        <f t="shared" si="1"/>
        <v>Mar</v>
      </c>
    </row>
    <row r="267">
      <c r="A267" s="5" t="str">
        <f>RawData!A267</f>
        <v>ORD-5266</v>
      </c>
      <c r="B267" s="8">
        <f>RawData!B267</f>
        <v>44621</v>
      </c>
      <c r="C267" s="5" t="str">
        <f>RawData!C267</f>
        <v>C2058</v>
      </c>
      <c r="D267" s="5" t="str">
        <f>VLOOKUP(C267, Customers!A:B,2,FALSE)</f>
        <v/>
      </c>
      <c r="E267" s="5" t="str">
        <f>RawData!D267</f>
        <v>P1018</v>
      </c>
      <c r="G267" s="5" t="str">
        <f t="array" ref="G267">XLOOKUP(E267, Products!A:A, Products!C:C)</f>
        <v>Electronics</v>
      </c>
      <c r="H267" s="5">
        <f>RawData!E267</f>
        <v>10</v>
      </c>
      <c r="I267" s="5">
        <f>RawData!F267</f>
        <v>131.34</v>
      </c>
      <c r="J267" s="5">
        <f>RawData!G267</f>
        <v>1313.4</v>
      </c>
      <c r="K267" s="5" t="str">
        <f>RawData!H267</f>
        <v>East</v>
      </c>
      <c r="L267" s="5" t="str">
        <f t="shared" si="1"/>
        <v>Mar</v>
      </c>
    </row>
    <row r="268">
      <c r="A268" s="5" t="str">
        <f>RawData!A268</f>
        <v>ORD-5267</v>
      </c>
      <c r="B268" s="8">
        <f>RawData!B268</f>
        <v>45347</v>
      </c>
      <c r="C268" s="5" t="str">
        <f>RawData!C268</f>
        <v>C2361</v>
      </c>
      <c r="D268" s="5" t="str">
        <f>VLOOKUP(C268, Customers!A:B,2,FALSE)</f>
        <v/>
      </c>
      <c r="E268" s="5" t="str">
        <f>RawData!D268</f>
        <v>P1009</v>
      </c>
      <c r="G268" s="5" t="str">
        <f t="array" ref="G268">XLOOKUP(E268, Products!A:A, Products!C:C)</f>
        <v>Electronics</v>
      </c>
      <c r="H268" s="5">
        <f>RawData!E268</f>
        <v>10</v>
      </c>
      <c r="I268" s="5">
        <f>RawData!F268</f>
        <v>74.83</v>
      </c>
      <c r="J268" s="5">
        <f>RawData!G268</f>
        <v>748.3</v>
      </c>
      <c r="K268" s="5" t="str">
        <f>RawData!H268</f>
        <v>East</v>
      </c>
      <c r="L268" s="5" t="str">
        <f t="shared" si="1"/>
        <v>Feb</v>
      </c>
    </row>
    <row r="269">
      <c r="A269" s="5" t="str">
        <f>RawData!A269</f>
        <v>ORD-5268</v>
      </c>
      <c r="B269" s="8">
        <f>RawData!B269</f>
        <v>44737</v>
      </c>
      <c r="C269" s="5" t="str">
        <f>RawData!C269</f>
        <v>C2450</v>
      </c>
      <c r="D269" s="5" t="str">
        <f>VLOOKUP(C269, Customers!A:B,2,FALSE)</f>
        <v/>
      </c>
      <c r="E269" s="5" t="str">
        <f>RawData!D269</f>
        <v>P1027</v>
      </c>
      <c r="G269" s="5" t="str">
        <f t="array" ref="G269">XLOOKUP(E269, Products!A:A, Products!C:C)</f>
        <v>Fashion</v>
      </c>
      <c r="H269" s="5">
        <f>RawData!E269</f>
        <v>1</v>
      </c>
      <c r="I269" s="5">
        <f>RawData!F269</f>
        <v>152.99</v>
      </c>
      <c r="J269" s="5">
        <f>RawData!G269</f>
        <v>152.99</v>
      </c>
      <c r="K269" s="5" t="str">
        <f>RawData!H269</f>
        <v>West</v>
      </c>
      <c r="L269" s="5" t="str">
        <f t="shared" si="1"/>
        <v>Jun</v>
      </c>
    </row>
    <row r="270">
      <c r="A270" s="5" t="str">
        <f>RawData!A270</f>
        <v>ORD-5269</v>
      </c>
      <c r="B270" s="8">
        <f>RawData!B270</f>
        <v>44575</v>
      </c>
      <c r="C270" s="5" t="str">
        <f>RawData!C270</f>
        <v>C2328</v>
      </c>
      <c r="D270" s="5" t="str">
        <f>VLOOKUP(C270, Customers!A:B,2,FALSE)</f>
        <v/>
      </c>
      <c r="E270" s="5" t="str">
        <f>RawData!D270</f>
        <v>P1037</v>
      </c>
      <c r="G270" s="5" t="str">
        <f t="array" ref="G270">XLOOKUP(E270, Products!A:A, Products!C:C)</f>
        <v>Electronics</v>
      </c>
      <c r="H270" s="5">
        <f>RawData!E270</f>
        <v>7</v>
      </c>
      <c r="I270" s="5">
        <f>RawData!F270</f>
        <v>115.76</v>
      </c>
      <c r="J270" s="5">
        <f>RawData!G270</f>
        <v>810.32</v>
      </c>
      <c r="K270" s="5" t="str">
        <f>RawData!H270</f>
        <v>West</v>
      </c>
      <c r="L270" s="5" t="str">
        <f t="shared" si="1"/>
        <v>Jan</v>
      </c>
    </row>
    <row r="271">
      <c r="A271" s="5" t="str">
        <f>RawData!A271</f>
        <v>ORD-5270</v>
      </c>
      <c r="B271" s="8">
        <f>RawData!B271</f>
        <v>45690</v>
      </c>
      <c r="C271" s="5" t="str">
        <f>RawData!C271</f>
        <v>C2344</v>
      </c>
      <c r="D271" s="5" t="str">
        <f>VLOOKUP(C271, Customers!A:B,2,FALSE)</f>
        <v/>
      </c>
      <c r="E271" s="5" t="str">
        <f>RawData!D271</f>
        <v>P1047</v>
      </c>
      <c r="G271" s="5" t="str">
        <f t="array" ref="G271">XLOOKUP(E271, Products!A:A, Products!C:C)</f>
        <v>Electronics</v>
      </c>
      <c r="H271" s="5">
        <f>RawData!E271</f>
        <v>2</v>
      </c>
      <c r="I271" s="5">
        <f>RawData!F271</f>
        <v>73.45</v>
      </c>
      <c r="J271" s="5">
        <f>RawData!G271</f>
        <v>146.9</v>
      </c>
      <c r="K271" s="5" t="str">
        <f>RawData!H271</f>
        <v>East</v>
      </c>
      <c r="L271" s="5" t="str">
        <f t="shared" si="1"/>
        <v>Feb</v>
      </c>
    </row>
    <row r="272">
      <c r="A272" s="5" t="str">
        <f>RawData!A272</f>
        <v>ORD-5271</v>
      </c>
      <c r="B272" s="8">
        <f>RawData!B272</f>
        <v>45488</v>
      </c>
      <c r="C272" s="5" t="str">
        <f>RawData!C272</f>
        <v>C2042</v>
      </c>
      <c r="D272" s="5" t="str">
        <f>VLOOKUP(C272, Customers!A:B,2,FALSE)</f>
        <v/>
      </c>
      <c r="E272" s="5" t="str">
        <f>RawData!D272</f>
        <v>P1020</v>
      </c>
      <c r="G272" s="5" t="str">
        <f t="array" ref="G272">XLOOKUP(E272, Products!A:A, Products!C:C)</f>
        <v>Furniture</v>
      </c>
      <c r="H272" s="5">
        <f>RawData!E272</f>
        <v>7</v>
      </c>
      <c r="I272" s="5">
        <f>RawData!F272</f>
        <v>94.59</v>
      </c>
      <c r="J272" s="5">
        <f>RawData!G272</f>
        <v>662.13</v>
      </c>
      <c r="K272" s="5" t="str">
        <f>RawData!H272</f>
        <v>West</v>
      </c>
      <c r="L272" s="5" t="str">
        <f t="shared" si="1"/>
        <v>Jul</v>
      </c>
    </row>
    <row r="273">
      <c r="A273" s="5" t="str">
        <f>RawData!A273</f>
        <v>ORD-5272</v>
      </c>
      <c r="B273" s="8">
        <f>RawData!B273</f>
        <v>45870</v>
      </c>
      <c r="C273" s="5" t="str">
        <f>RawData!C273</f>
        <v>C2464</v>
      </c>
      <c r="D273" s="5" t="str">
        <f>VLOOKUP(C273, Customers!A:B,2,FALSE)</f>
        <v/>
      </c>
      <c r="E273" s="5" t="str">
        <f>RawData!D273</f>
        <v>P1025</v>
      </c>
      <c r="G273" s="5" t="str">
        <f t="array" ref="G273">XLOOKUP(E273, Products!A:A, Products!C:C)</f>
        <v>Electronics</v>
      </c>
      <c r="H273" s="5">
        <f>RawData!E273</f>
        <v>2</v>
      </c>
      <c r="I273" s="5">
        <f>RawData!F273</f>
        <v>65.45</v>
      </c>
      <c r="J273" s="5">
        <f>RawData!G273</f>
        <v>130.9</v>
      </c>
      <c r="K273" s="5" t="str">
        <f>RawData!H273</f>
        <v>East</v>
      </c>
      <c r="L273" s="5" t="str">
        <f t="shared" si="1"/>
        <v>Aug</v>
      </c>
    </row>
    <row r="274">
      <c r="A274" s="5" t="str">
        <f>RawData!A274</f>
        <v>ORD-5273</v>
      </c>
      <c r="B274" s="8">
        <f>RawData!B274</f>
        <v>44871</v>
      </c>
      <c r="C274" s="5" t="str">
        <f>RawData!C274</f>
        <v>C2175</v>
      </c>
      <c r="D274" s="5" t="str">
        <f>VLOOKUP(C274, Customers!A:B,2,FALSE)</f>
        <v/>
      </c>
      <c r="E274" s="5" t="str">
        <f>RawData!D274</f>
        <v>P1009</v>
      </c>
      <c r="G274" s="5" t="str">
        <f t="array" ref="G274">XLOOKUP(E274, Products!A:A, Products!C:C)</f>
        <v>Electronics</v>
      </c>
      <c r="H274" s="5">
        <f>RawData!E274</f>
        <v>2</v>
      </c>
      <c r="I274" s="5">
        <f>RawData!F274</f>
        <v>74.83</v>
      </c>
      <c r="J274" s="5">
        <f>RawData!G274</f>
        <v>149.66</v>
      </c>
      <c r="K274" s="5" t="str">
        <f>RawData!H274</f>
        <v>North</v>
      </c>
      <c r="L274" s="5" t="str">
        <f t="shared" si="1"/>
        <v>Nov</v>
      </c>
    </row>
    <row r="275">
      <c r="A275" s="5" t="str">
        <f>RawData!A275</f>
        <v>ORD-5274</v>
      </c>
      <c r="B275" s="8">
        <f>RawData!B275</f>
        <v>45333</v>
      </c>
      <c r="C275" s="5" t="str">
        <f>RawData!C275</f>
        <v>C2321</v>
      </c>
      <c r="D275" s="5" t="str">
        <f>VLOOKUP(C275, Customers!A:B,2,FALSE)</f>
        <v/>
      </c>
      <c r="E275" s="5" t="str">
        <f>RawData!D275</f>
        <v>P1002</v>
      </c>
      <c r="G275" s="5" t="str">
        <f t="array" ref="G275">XLOOKUP(E275, Products!A:A, Products!C:C)</f>
        <v>Furniture</v>
      </c>
      <c r="H275" s="5">
        <f>RawData!E275</f>
        <v>10</v>
      </c>
      <c r="I275" s="5">
        <f>RawData!F275</f>
        <v>109.31</v>
      </c>
      <c r="J275" s="5">
        <f>RawData!G275</f>
        <v>1093.1</v>
      </c>
      <c r="K275" s="5" t="str">
        <f>RawData!H275</f>
        <v>South</v>
      </c>
      <c r="L275" s="5" t="str">
        <f t="shared" si="1"/>
        <v>Feb</v>
      </c>
    </row>
    <row r="276">
      <c r="A276" s="5" t="str">
        <f>RawData!A276</f>
        <v>ORD-5275</v>
      </c>
      <c r="B276" s="8">
        <f>RawData!B276</f>
        <v>44603</v>
      </c>
      <c r="C276" s="5" t="str">
        <f>RawData!C276</f>
        <v>C2361</v>
      </c>
      <c r="D276" s="5" t="str">
        <f>VLOOKUP(C276, Customers!A:B,2,FALSE)</f>
        <v/>
      </c>
      <c r="E276" s="5" t="str">
        <f>RawData!D276</f>
        <v>P1025</v>
      </c>
      <c r="G276" s="5" t="str">
        <f t="array" ref="G276">XLOOKUP(E276, Products!A:A, Products!C:C)</f>
        <v>Electronics</v>
      </c>
      <c r="H276" s="5">
        <f>RawData!E276</f>
        <v>10</v>
      </c>
      <c r="I276" s="5">
        <f>RawData!F276</f>
        <v>65.45</v>
      </c>
      <c r="J276" s="5">
        <f>RawData!G276</f>
        <v>654.5</v>
      </c>
      <c r="K276" s="5" t="str">
        <f>RawData!H276</f>
        <v>North</v>
      </c>
      <c r="L276" s="5" t="str">
        <f t="shared" si="1"/>
        <v>Feb</v>
      </c>
    </row>
    <row r="277">
      <c r="A277" s="5" t="str">
        <f>RawData!A277</f>
        <v>ORD-5276</v>
      </c>
      <c r="B277" s="8">
        <f>RawData!B277</f>
        <v>44678</v>
      </c>
      <c r="C277" s="5" t="str">
        <f>RawData!C277</f>
        <v>C2055</v>
      </c>
      <c r="D277" s="5" t="str">
        <f>VLOOKUP(C277, Customers!A:B,2,FALSE)</f>
        <v/>
      </c>
      <c r="E277" s="5" t="str">
        <f>RawData!D277</f>
        <v>P1011</v>
      </c>
      <c r="G277" s="5" t="str">
        <f t="array" ref="G277">XLOOKUP(E277, Products!A:A, Products!C:C)</f>
        <v>Home</v>
      </c>
      <c r="H277" s="5">
        <f>RawData!E277</f>
        <v>6</v>
      </c>
      <c r="I277" s="5">
        <f>RawData!F277</f>
        <v>114.21</v>
      </c>
      <c r="J277" s="5">
        <f>RawData!G277</f>
        <v>685.26</v>
      </c>
      <c r="K277" s="5" t="str">
        <f>RawData!H277</f>
        <v>East</v>
      </c>
      <c r="L277" s="5" t="str">
        <f t="shared" si="1"/>
        <v>Apr</v>
      </c>
    </row>
    <row r="278">
      <c r="A278" s="5" t="str">
        <f>RawData!A278</f>
        <v>ORD-5277</v>
      </c>
      <c r="B278" s="8">
        <f>RawData!B278</f>
        <v>45088</v>
      </c>
      <c r="C278" s="5" t="str">
        <f>RawData!C278</f>
        <v>C2176</v>
      </c>
      <c r="D278" s="5" t="str">
        <f>VLOOKUP(C278, Customers!A:B,2,FALSE)</f>
        <v/>
      </c>
      <c r="E278" s="5" t="str">
        <f>RawData!D278</f>
        <v>P1003</v>
      </c>
      <c r="G278" s="5" t="str">
        <f t="array" ref="G278">XLOOKUP(E278, Products!A:A, Products!C:C)</f>
        <v>Electronics</v>
      </c>
      <c r="H278" s="5">
        <f>RawData!E278</f>
        <v>4</v>
      </c>
      <c r="I278" s="5">
        <f>RawData!F278</f>
        <v>187.26</v>
      </c>
      <c r="J278" s="5">
        <f>RawData!G278</f>
        <v>749.04</v>
      </c>
      <c r="K278" s="5" t="str">
        <f>RawData!H278</f>
        <v>East</v>
      </c>
      <c r="L278" s="5" t="str">
        <f t="shared" si="1"/>
        <v>Jun</v>
      </c>
    </row>
    <row r="279">
      <c r="A279" s="5" t="str">
        <f>RawData!A279</f>
        <v>ORD-5278</v>
      </c>
      <c r="B279" s="8">
        <f>RawData!B279</f>
        <v>45803</v>
      </c>
      <c r="C279" s="5" t="str">
        <f>RawData!C279</f>
        <v>C2402</v>
      </c>
      <c r="D279" s="5" t="str">
        <f>VLOOKUP(C279, Customers!A:B,2,FALSE)</f>
        <v/>
      </c>
      <c r="E279" s="5" t="str">
        <f>RawData!D279</f>
        <v>P1023</v>
      </c>
      <c r="G279" s="5" t="str">
        <f t="array" ref="G279">XLOOKUP(E279, Products!A:A, Products!C:C)</f>
        <v>Fashion</v>
      </c>
      <c r="H279" s="5">
        <f>RawData!E279</f>
        <v>5</v>
      </c>
      <c r="I279" s="5">
        <f>RawData!F279</f>
        <v>70.71</v>
      </c>
      <c r="J279" s="5">
        <f>RawData!G279</f>
        <v>353.55</v>
      </c>
      <c r="K279" s="5" t="str">
        <f>RawData!H279</f>
        <v>South</v>
      </c>
      <c r="L279" s="5" t="str">
        <f t="shared" si="1"/>
        <v>May</v>
      </c>
    </row>
    <row r="280">
      <c r="A280" s="5" t="str">
        <f>RawData!A280</f>
        <v>ORD-5279</v>
      </c>
      <c r="B280" s="8">
        <f>RawData!B280</f>
        <v>45149</v>
      </c>
      <c r="C280" s="5" t="str">
        <f>RawData!C280</f>
        <v>C2269</v>
      </c>
      <c r="D280" s="5" t="str">
        <f>VLOOKUP(C280, Customers!A:B,2,FALSE)</f>
        <v/>
      </c>
      <c r="E280" s="5" t="str">
        <f>RawData!D280</f>
        <v>P1024</v>
      </c>
      <c r="G280" s="5" t="str">
        <f t="array" ref="G280">XLOOKUP(E280, Products!A:A, Products!C:C)</f>
        <v>Electronics</v>
      </c>
      <c r="H280" s="5">
        <f>RawData!E280</f>
        <v>8</v>
      </c>
      <c r="I280" s="5">
        <f>RawData!F280</f>
        <v>122.33</v>
      </c>
      <c r="J280" s="5">
        <f>RawData!G280</f>
        <v>978.64</v>
      </c>
      <c r="K280" s="5" t="str">
        <f>RawData!H280</f>
        <v>East</v>
      </c>
      <c r="L280" s="5" t="str">
        <f t="shared" si="1"/>
        <v>Aug</v>
      </c>
    </row>
    <row r="281">
      <c r="A281" s="5" t="str">
        <f>RawData!A281</f>
        <v>ORD-5280</v>
      </c>
      <c r="B281" s="8">
        <f>RawData!B281</f>
        <v>45023</v>
      </c>
      <c r="C281" s="5" t="str">
        <f>RawData!C281</f>
        <v>C2035</v>
      </c>
      <c r="D281" s="5" t="str">
        <f>VLOOKUP(C281, Customers!A:B,2,FALSE)</f>
        <v/>
      </c>
      <c r="E281" s="5" t="str">
        <f>RawData!D281</f>
        <v>P1011</v>
      </c>
      <c r="G281" s="5" t="str">
        <f t="array" ref="G281">XLOOKUP(E281, Products!A:A, Products!C:C)</f>
        <v>Home</v>
      </c>
      <c r="H281" s="5">
        <f>RawData!E281</f>
        <v>4</v>
      </c>
      <c r="I281" s="5">
        <f>RawData!F281</f>
        <v>114.21</v>
      </c>
      <c r="J281" s="5">
        <f>RawData!G281</f>
        <v>456.84</v>
      </c>
      <c r="K281" s="5" t="str">
        <f>RawData!H281</f>
        <v>West</v>
      </c>
      <c r="L281" s="5" t="str">
        <f t="shared" si="1"/>
        <v>Apr</v>
      </c>
    </row>
    <row r="282">
      <c r="A282" s="5" t="str">
        <f>RawData!A282</f>
        <v>ORD-5281</v>
      </c>
      <c r="B282" s="8">
        <f>RawData!B282</f>
        <v>45568</v>
      </c>
      <c r="C282" s="5" t="str">
        <f>RawData!C282</f>
        <v>C2245</v>
      </c>
      <c r="D282" s="5" t="str">
        <f>VLOOKUP(C282, Customers!A:B,2,FALSE)</f>
        <v/>
      </c>
      <c r="E282" s="5" t="str">
        <f>RawData!D282</f>
        <v>P1011</v>
      </c>
      <c r="G282" s="5" t="str">
        <f t="array" ref="G282">XLOOKUP(E282, Products!A:A, Products!C:C)</f>
        <v>Home</v>
      </c>
      <c r="H282" s="5">
        <f>RawData!E282</f>
        <v>2</v>
      </c>
      <c r="I282" s="5">
        <f>RawData!F282</f>
        <v>114.21</v>
      </c>
      <c r="J282" s="5">
        <f>RawData!G282</f>
        <v>228.42</v>
      </c>
      <c r="K282" s="5" t="str">
        <f>RawData!H282</f>
        <v>East</v>
      </c>
      <c r="L282" s="5" t="str">
        <f t="shared" si="1"/>
        <v>Oct</v>
      </c>
    </row>
    <row r="283">
      <c r="A283" s="5" t="str">
        <f>RawData!A283</f>
        <v>ORD-5282</v>
      </c>
      <c r="B283" s="8">
        <f>RawData!B283</f>
        <v>44863</v>
      </c>
      <c r="C283" s="5" t="str">
        <f>RawData!C283</f>
        <v>C2298</v>
      </c>
      <c r="D283" s="5" t="str">
        <f>VLOOKUP(C283, Customers!A:B,2,FALSE)</f>
        <v/>
      </c>
      <c r="E283" s="5" t="str">
        <f>RawData!D283</f>
        <v>P1017</v>
      </c>
      <c r="G283" s="5" t="str">
        <f t="array" ref="G283">XLOOKUP(E283, Products!A:A, Products!C:C)</f>
        <v>Furniture</v>
      </c>
      <c r="H283" s="5">
        <f>RawData!E283</f>
        <v>6</v>
      </c>
      <c r="I283" s="5">
        <f>RawData!F283</f>
        <v>43.15</v>
      </c>
      <c r="J283" s="5">
        <f>RawData!G283</f>
        <v>258.9</v>
      </c>
      <c r="K283" s="5" t="str">
        <f>RawData!H283</f>
        <v>East</v>
      </c>
      <c r="L283" s="5" t="str">
        <f t="shared" si="1"/>
        <v>Oct</v>
      </c>
    </row>
    <row r="284">
      <c r="A284" s="5" t="str">
        <f>RawData!A284</f>
        <v>ORD-5283</v>
      </c>
      <c r="B284" s="8">
        <f>RawData!B284</f>
        <v>45249</v>
      </c>
      <c r="C284" s="5" t="str">
        <f>RawData!C284</f>
        <v>C2042</v>
      </c>
      <c r="D284" s="5" t="str">
        <f>VLOOKUP(C284, Customers!A:B,2,FALSE)</f>
        <v/>
      </c>
      <c r="E284" s="5" t="str">
        <f>RawData!D284</f>
        <v>P1043</v>
      </c>
      <c r="G284" s="5" t="str">
        <f t="array" ref="G284">XLOOKUP(E284, Products!A:A, Products!C:C)</f>
        <v>Fashion</v>
      </c>
      <c r="H284" s="5">
        <f>RawData!E284</f>
        <v>9</v>
      </c>
      <c r="I284" s="5">
        <f>RawData!F284</f>
        <v>183.75</v>
      </c>
      <c r="J284" s="5">
        <f>RawData!G284</f>
        <v>1653.75</v>
      </c>
      <c r="K284" s="5" t="str">
        <f>RawData!H284</f>
        <v>South</v>
      </c>
      <c r="L284" s="5" t="str">
        <f t="shared" si="1"/>
        <v>Nov</v>
      </c>
    </row>
    <row r="285">
      <c r="A285" s="5" t="str">
        <f>RawData!A285</f>
        <v>ORD-5284</v>
      </c>
      <c r="B285" s="8">
        <f>RawData!B285</f>
        <v>45056</v>
      </c>
      <c r="C285" s="5" t="str">
        <f>RawData!C285</f>
        <v>C2417</v>
      </c>
      <c r="D285" s="5" t="str">
        <f>VLOOKUP(C285, Customers!A:B,2,FALSE)</f>
        <v/>
      </c>
      <c r="E285" s="5" t="str">
        <f>RawData!D285</f>
        <v>P1009</v>
      </c>
      <c r="G285" s="5" t="str">
        <f t="array" ref="G285">XLOOKUP(E285, Products!A:A, Products!C:C)</f>
        <v>Electronics</v>
      </c>
      <c r="H285" s="5">
        <f>RawData!E285</f>
        <v>3</v>
      </c>
      <c r="I285" s="5">
        <f>RawData!F285</f>
        <v>74.83</v>
      </c>
      <c r="J285" s="5">
        <f>RawData!G285</f>
        <v>224.49</v>
      </c>
      <c r="K285" s="5" t="str">
        <f>RawData!H285</f>
        <v>North</v>
      </c>
      <c r="L285" s="5" t="str">
        <f t="shared" si="1"/>
        <v>May</v>
      </c>
    </row>
    <row r="286">
      <c r="A286" s="5" t="str">
        <f>RawData!A286</f>
        <v>ORD-5285</v>
      </c>
      <c r="B286" s="8">
        <f>RawData!B286</f>
        <v>44880</v>
      </c>
      <c r="C286" s="5" t="str">
        <f>RawData!C286</f>
        <v>C2205</v>
      </c>
      <c r="D286" s="5" t="str">
        <f>VLOOKUP(C286, Customers!A:B,2,FALSE)</f>
        <v/>
      </c>
      <c r="E286" s="5" t="str">
        <f>RawData!D286</f>
        <v>P1001</v>
      </c>
      <c r="G286" s="5" t="str">
        <f t="array" ref="G286">XLOOKUP(E286, Products!A:A, Products!C:C)</f>
        <v>Electronics</v>
      </c>
      <c r="H286" s="5">
        <f>RawData!E286</f>
        <v>1</v>
      </c>
      <c r="I286" s="5">
        <f>RawData!F286</f>
        <v>144.69</v>
      </c>
      <c r="J286" s="5">
        <f>RawData!G286</f>
        <v>144.69</v>
      </c>
      <c r="K286" s="5" t="str">
        <f>RawData!H286</f>
        <v>North</v>
      </c>
      <c r="L286" s="5" t="str">
        <f t="shared" si="1"/>
        <v>Nov</v>
      </c>
    </row>
    <row r="287">
      <c r="A287" s="5" t="str">
        <f>RawData!A287</f>
        <v>ORD-5286</v>
      </c>
      <c r="B287" s="8">
        <f>RawData!B287</f>
        <v>45908</v>
      </c>
      <c r="C287" s="5" t="str">
        <f>RawData!C287</f>
        <v>C2239</v>
      </c>
      <c r="D287" s="5" t="str">
        <f>VLOOKUP(C287, Customers!A:B,2,FALSE)</f>
        <v/>
      </c>
      <c r="E287" s="5" t="str">
        <f>RawData!D287</f>
        <v>P1050</v>
      </c>
      <c r="G287" s="5" t="str">
        <f t="array" ref="G287">XLOOKUP(E287, Products!A:A, Products!C:C)</f>
        <v>Electronics</v>
      </c>
      <c r="H287" s="5">
        <f>RawData!E287</f>
        <v>1</v>
      </c>
      <c r="I287" s="5">
        <f>RawData!F287</f>
        <v>161.48</v>
      </c>
      <c r="J287" s="5">
        <f>RawData!G287</f>
        <v>161.48</v>
      </c>
      <c r="K287" s="5" t="str">
        <f>RawData!H287</f>
        <v>South</v>
      </c>
      <c r="L287" s="5" t="str">
        <f t="shared" si="1"/>
        <v>Sep</v>
      </c>
    </row>
    <row r="288">
      <c r="A288" s="5" t="str">
        <f>RawData!A288</f>
        <v>ORD-5287</v>
      </c>
      <c r="B288" s="8">
        <f>RawData!B288</f>
        <v>44855</v>
      </c>
      <c r="C288" s="5" t="str">
        <f>RawData!C288</f>
        <v>C2389</v>
      </c>
      <c r="D288" s="5" t="str">
        <f>VLOOKUP(C288, Customers!A:B,2,FALSE)</f>
        <v/>
      </c>
      <c r="E288" s="5" t="str">
        <f>RawData!D288</f>
        <v>P1036</v>
      </c>
      <c r="G288" s="5" t="str">
        <f t="array" ref="G288">XLOOKUP(E288, Products!A:A, Products!C:C)</f>
        <v>Fashion</v>
      </c>
      <c r="H288" s="5">
        <f>RawData!E288</f>
        <v>4</v>
      </c>
      <c r="I288" s="5">
        <f>RawData!F288</f>
        <v>146.68</v>
      </c>
      <c r="J288" s="5">
        <f>RawData!G288</f>
        <v>586.72</v>
      </c>
      <c r="K288" s="5" t="str">
        <f>RawData!H288</f>
        <v>East</v>
      </c>
      <c r="L288" s="5" t="str">
        <f t="shared" si="1"/>
        <v>Oct</v>
      </c>
    </row>
    <row r="289">
      <c r="A289" s="5" t="str">
        <f>RawData!A289</f>
        <v>ORD-5288</v>
      </c>
      <c r="B289" s="8">
        <f>RawData!B289</f>
        <v>45486</v>
      </c>
      <c r="C289" s="5" t="str">
        <f>RawData!C289</f>
        <v>C2046</v>
      </c>
      <c r="D289" s="5" t="str">
        <f>VLOOKUP(C289, Customers!A:B,2,FALSE)</f>
        <v/>
      </c>
      <c r="E289" s="5" t="str">
        <f>RawData!D289</f>
        <v>P1026</v>
      </c>
      <c r="G289" s="5" t="str">
        <f t="array" ref="G289">XLOOKUP(E289, Products!A:A, Products!C:C)</f>
        <v>Home</v>
      </c>
      <c r="H289" s="5">
        <f>RawData!E289</f>
        <v>3</v>
      </c>
      <c r="I289" s="5">
        <f>RawData!F289</f>
        <v>128.23</v>
      </c>
      <c r="J289" s="5">
        <f>RawData!G289</f>
        <v>384.69</v>
      </c>
      <c r="K289" s="5" t="str">
        <f>RawData!H289</f>
        <v>East</v>
      </c>
      <c r="L289" s="5" t="str">
        <f t="shared" si="1"/>
        <v>Jul</v>
      </c>
    </row>
    <row r="290">
      <c r="A290" s="5" t="str">
        <f>RawData!A290</f>
        <v>ORD-5289</v>
      </c>
      <c r="B290" s="8">
        <f>RawData!B290</f>
        <v>46030</v>
      </c>
      <c r="C290" s="5" t="str">
        <f>RawData!C290</f>
        <v>C2002</v>
      </c>
      <c r="D290" s="5" t="str">
        <f>VLOOKUP(C290, Customers!A:B,2,FALSE)</f>
        <v>Grace Hughes</v>
      </c>
      <c r="E290" s="5" t="str">
        <f>RawData!D290</f>
        <v>P1037</v>
      </c>
      <c r="G290" s="5" t="str">
        <f t="array" ref="G290">XLOOKUP(E290, Products!A:A, Products!C:C)</f>
        <v>Electronics</v>
      </c>
      <c r="H290" s="5">
        <f>RawData!E290</f>
        <v>4</v>
      </c>
      <c r="I290" s="5">
        <f>RawData!F290</f>
        <v>115.76</v>
      </c>
      <c r="J290" s="5">
        <f>RawData!G290</f>
        <v>463.04</v>
      </c>
      <c r="K290" s="5" t="str">
        <f>RawData!H290</f>
        <v>North</v>
      </c>
      <c r="L290" s="5" t="str">
        <f t="shared" si="1"/>
        <v>Jan</v>
      </c>
    </row>
    <row r="291">
      <c r="A291" s="5" t="str">
        <f>RawData!A291</f>
        <v>ORD-5290</v>
      </c>
      <c r="B291" s="8">
        <f>RawData!B291</f>
        <v>44798</v>
      </c>
      <c r="C291" s="5" t="str">
        <f>RawData!C291</f>
        <v>C2253</v>
      </c>
      <c r="D291" s="5" t="str">
        <f>VLOOKUP(C291, Customers!A:B,2,FALSE)</f>
        <v/>
      </c>
      <c r="E291" s="5" t="str">
        <f>RawData!D291</f>
        <v>P1007</v>
      </c>
      <c r="G291" s="5" t="str">
        <f t="array" ref="G291">XLOOKUP(E291, Products!A:A, Products!C:C)</f>
        <v>Accessories</v>
      </c>
      <c r="H291" s="5">
        <f>RawData!E291</f>
        <v>6</v>
      </c>
      <c r="I291" s="5">
        <f>RawData!F291</f>
        <v>37.05</v>
      </c>
      <c r="J291" s="5">
        <f>RawData!G291</f>
        <v>222.3</v>
      </c>
      <c r="K291" s="5" t="str">
        <f>RawData!H291</f>
        <v>South</v>
      </c>
      <c r="L291" s="5" t="str">
        <f t="shared" si="1"/>
        <v>Aug</v>
      </c>
    </row>
    <row r="292">
      <c r="A292" s="5" t="str">
        <f>RawData!A292</f>
        <v>ORD-5291</v>
      </c>
      <c r="B292" s="8">
        <f>RawData!B292</f>
        <v>45056</v>
      </c>
      <c r="C292" s="5" t="str">
        <f>RawData!C292</f>
        <v>C2244</v>
      </c>
      <c r="D292" s="5" t="str">
        <f>VLOOKUP(C292, Customers!A:B,2,FALSE)</f>
        <v/>
      </c>
      <c r="E292" s="5" t="str">
        <f>RawData!D292</f>
        <v>P1018</v>
      </c>
      <c r="G292" s="5" t="str">
        <f t="array" ref="G292">XLOOKUP(E292, Products!A:A, Products!C:C)</f>
        <v>Electronics</v>
      </c>
      <c r="H292" s="5">
        <f>RawData!E292</f>
        <v>7</v>
      </c>
      <c r="I292" s="5">
        <f>RawData!F292</f>
        <v>131.34</v>
      </c>
      <c r="J292" s="5">
        <f>RawData!G292</f>
        <v>919.38</v>
      </c>
      <c r="K292" s="5" t="str">
        <f>RawData!H292</f>
        <v>North</v>
      </c>
      <c r="L292" s="5" t="str">
        <f t="shared" si="1"/>
        <v>May</v>
      </c>
    </row>
    <row r="293">
      <c r="A293" s="5" t="str">
        <f>RawData!A293</f>
        <v>ORD-5292</v>
      </c>
      <c r="B293" s="8">
        <f>RawData!B293</f>
        <v>44686</v>
      </c>
      <c r="C293" s="5" t="str">
        <f>RawData!C293</f>
        <v>C2385</v>
      </c>
      <c r="D293" s="5" t="str">
        <f>VLOOKUP(C293, Customers!A:B,2,FALSE)</f>
        <v>Amelia Rogers</v>
      </c>
      <c r="E293" s="5" t="str">
        <f>RawData!D293</f>
        <v>P1009</v>
      </c>
      <c r="G293" s="5" t="str">
        <f t="array" ref="G293">XLOOKUP(E293, Products!A:A, Products!C:C)</f>
        <v>Electronics</v>
      </c>
      <c r="H293" s="5">
        <f>RawData!E293</f>
        <v>10</v>
      </c>
      <c r="I293" s="5">
        <f>RawData!F293</f>
        <v>74.83</v>
      </c>
      <c r="J293" s="5">
        <f>RawData!G293</f>
        <v>748.3</v>
      </c>
      <c r="K293" s="5" t="str">
        <f>RawData!H293</f>
        <v>North</v>
      </c>
      <c r="L293" s="5" t="str">
        <f t="shared" si="1"/>
        <v>May</v>
      </c>
    </row>
    <row r="294">
      <c r="A294" s="5" t="str">
        <f>RawData!A294</f>
        <v>ORD-5293</v>
      </c>
      <c r="B294" s="8">
        <f>RawData!B294</f>
        <v>44695</v>
      </c>
      <c r="C294" s="5" t="str">
        <f>RawData!C294</f>
        <v>C2118</v>
      </c>
      <c r="D294" s="5" t="str">
        <f>VLOOKUP(C294, Customers!A:B,2,FALSE)</f>
        <v/>
      </c>
      <c r="E294" s="5" t="str">
        <f>RawData!D294</f>
        <v>P1037</v>
      </c>
      <c r="G294" s="5" t="str">
        <f t="array" ref="G294">XLOOKUP(E294, Products!A:A, Products!C:C)</f>
        <v>Electronics</v>
      </c>
      <c r="H294" s="5">
        <f>RawData!E294</f>
        <v>3</v>
      </c>
      <c r="I294" s="5">
        <f>RawData!F294</f>
        <v>115.76</v>
      </c>
      <c r="J294" s="5">
        <f>RawData!G294</f>
        <v>347.28</v>
      </c>
      <c r="K294" s="5" t="str">
        <f>RawData!H294</f>
        <v>South</v>
      </c>
      <c r="L294" s="5" t="str">
        <f t="shared" si="1"/>
        <v>May</v>
      </c>
    </row>
    <row r="295">
      <c r="A295" s="5" t="str">
        <f>RawData!A295</f>
        <v>ORD-5294</v>
      </c>
      <c r="B295" s="8">
        <f>RawData!B295</f>
        <v>45943</v>
      </c>
      <c r="C295" s="5" t="str">
        <f>RawData!C295</f>
        <v>C2470</v>
      </c>
      <c r="D295" s="5" t="str">
        <f>VLOOKUP(C295, Customers!A:B,2,FALSE)</f>
        <v/>
      </c>
      <c r="E295" s="5" t="str">
        <f>RawData!D295</f>
        <v>P1014</v>
      </c>
      <c r="G295" s="5" t="str">
        <f t="array" ref="G295">XLOOKUP(E295, Products!A:A, Products!C:C)</f>
        <v>Electronics</v>
      </c>
      <c r="H295" s="5">
        <f>RawData!E295</f>
        <v>9</v>
      </c>
      <c r="I295" s="5">
        <f>RawData!F295</f>
        <v>54.76</v>
      </c>
      <c r="J295" s="5">
        <f>RawData!G295</f>
        <v>492.84</v>
      </c>
      <c r="K295" s="5" t="str">
        <f>RawData!H295</f>
        <v>West</v>
      </c>
      <c r="L295" s="5" t="str">
        <f t="shared" si="1"/>
        <v>Oct</v>
      </c>
    </row>
    <row r="296">
      <c r="A296" s="5" t="str">
        <f>RawData!A296</f>
        <v>ORD-5295</v>
      </c>
      <c r="B296" s="8">
        <f>RawData!B296</f>
        <v>45644</v>
      </c>
      <c r="C296" s="5" t="str">
        <f>RawData!C296</f>
        <v>C2427</v>
      </c>
      <c r="D296" s="5" t="str">
        <f>VLOOKUP(C296, Customers!A:B,2,FALSE)</f>
        <v/>
      </c>
      <c r="E296" s="5" t="str">
        <f>RawData!D296</f>
        <v>P1032</v>
      </c>
      <c r="G296" s="5" t="str">
        <f t="array" ref="G296">XLOOKUP(E296, Products!A:A, Products!C:C)</f>
        <v>Fashion</v>
      </c>
      <c r="H296" s="5">
        <f>RawData!E296</f>
        <v>8</v>
      </c>
      <c r="I296" s="5">
        <f>RawData!F296</f>
        <v>52.33</v>
      </c>
      <c r="J296" s="5">
        <f>RawData!G296</f>
        <v>418.64</v>
      </c>
      <c r="K296" s="5" t="str">
        <f>RawData!H296</f>
        <v>West</v>
      </c>
      <c r="L296" s="5" t="str">
        <f t="shared" si="1"/>
        <v>Dec</v>
      </c>
    </row>
    <row r="297">
      <c r="A297" s="5" t="str">
        <f>RawData!A297</f>
        <v>ORD-5296</v>
      </c>
      <c r="B297" s="8">
        <f>RawData!B297</f>
        <v>44869</v>
      </c>
      <c r="C297" s="5" t="str">
        <f>RawData!C297</f>
        <v>C2193</v>
      </c>
      <c r="D297" s="5" t="str">
        <f>VLOOKUP(C297, Customers!A:B,2,FALSE)</f>
        <v/>
      </c>
      <c r="E297" s="5" t="str">
        <f>RawData!D297</f>
        <v>P1040</v>
      </c>
      <c r="G297" s="5" t="str">
        <f t="array" ref="G297">XLOOKUP(E297, Products!A:A, Products!C:C)</f>
        <v>Furniture</v>
      </c>
      <c r="H297" s="5">
        <f>RawData!E297</f>
        <v>5</v>
      </c>
      <c r="I297" s="5">
        <f>RawData!F297</f>
        <v>161.81</v>
      </c>
      <c r="J297" s="5">
        <f>RawData!G297</f>
        <v>809.05</v>
      </c>
      <c r="K297" s="5" t="str">
        <f>RawData!H297</f>
        <v>North</v>
      </c>
      <c r="L297" s="5" t="str">
        <f t="shared" si="1"/>
        <v>Nov</v>
      </c>
    </row>
    <row r="298">
      <c r="A298" s="5" t="str">
        <f>RawData!A298</f>
        <v>ORD-5297</v>
      </c>
      <c r="B298" s="8">
        <f>RawData!B298</f>
        <v>45961</v>
      </c>
      <c r="C298" s="5" t="str">
        <f>RawData!C298</f>
        <v>C2113</v>
      </c>
      <c r="D298" s="5" t="str">
        <f>VLOOKUP(C298, Customers!A:B,2,FALSE)</f>
        <v/>
      </c>
      <c r="E298" s="5" t="str">
        <f>RawData!D298</f>
        <v>P1043</v>
      </c>
      <c r="G298" s="5" t="str">
        <f t="array" ref="G298">XLOOKUP(E298, Products!A:A, Products!C:C)</f>
        <v>Fashion</v>
      </c>
      <c r="H298" s="5">
        <f>RawData!E298</f>
        <v>8</v>
      </c>
      <c r="I298" s="5">
        <f>RawData!F298</f>
        <v>183.75</v>
      </c>
      <c r="J298" s="5">
        <f>RawData!G298</f>
        <v>1470</v>
      </c>
      <c r="K298" s="5" t="str">
        <f>RawData!H298</f>
        <v>South</v>
      </c>
      <c r="L298" s="5" t="str">
        <f t="shared" si="1"/>
        <v>Oct</v>
      </c>
    </row>
    <row r="299">
      <c r="A299" s="5" t="str">
        <f>RawData!A299</f>
        <v>ORD-5298</v>
      </c>
      <c r="B299" s="8">
        <f>RawData!B299</f>
        <v>44695</v>
      </c>
      <c r="C299" s="5" t="str">
        <f>RawData!C299</f>
        <v>C2043</v>
      </c>
      <c r="D299" s="5" t="str">
        <f>VLOOKUP(C299, Customers!A:B,2,FALSE)</f>
        <v/>
      </c>
      <c r="E299" s="5" t="str">
        <f>RawData!D299</f>
        <v>P1027</v>
      </c>
      <c r="G299" s="5" t="str">
        <f t="array" ref="G299">XLOOKUP(E299, Products!A:A, Products!C:C)</f>
        <v>Fashion</v>
      </c>
      <c r="H299" s="5">
        <f>RawData!E299</f>
        <v>3</v>
      </c>
      <c r="I299" s="5">
        <f>RawData!F299</f>
        <v>152.99</v>
      </c>
      <c r="J299" s="5">
        <f>RawData!G299</f>
        <v>458.97</v>
      </c>
      <c r="K299" s="5" t="str">
        <f>RawData!H299</f>
        <v>South</v>
      </c>
      <c r="L299" s="5" t="str">
        <f t="shared" si="1"/>
        <v>May</v>
      </c>
    </row>
    <row r="300">
      <c r="A300" s="5" t="str">
        <f>RawData!A300</f>
        <v>ORD-5299</v>
      </c>
      <c r="B300" s="8">
        <f>RawData!B300</f>
        <v>44683</v>
      </c>
      <c r="C300" s="5" t="str">
        <f>RawData!C300</f>
        <v>C2359</v>
      </c>
      <c r="D300" s="5" t="str">
        <f>VLOOKUP(C300, Customers!A:B,2,FALSE)</f>
        <v/>
      </c>
      <c r="E300" s="5" t="str">
        <f>RawData!D300</f>
        <v>P1038</v>
      </c>
      <c r="G300" s="5" t="str">
        <f t="array" ref="G300">XLOOKUP(E300, Products!A:A, Products!C:C)</f>
        <v>Accessories</v>
      </c>
      <c r="H300" s="5">
        <f>RawData!E300</f>
        <v>6</v>
      </c>
      <c r="I300" s="5">
        <f>RawData!F300</f>
        <v>73.93</v>
      </c>
      <c r="J300" s="5">
        <f>RawData!G300</f>
        <v>443.58</v>
      </c>
      <c r="K300" s="5" t="str">
        <f>RawData!H300</f>
        <v>North</v>
      </c>
      <c r="L300" s="5" t="str">
        <f t="shared" si="1"/>
        <v>May</v>
      </c>
    </row>
    <row r="301">
      <c r="A301" s="5" t="str">
        <f>RawData!A301</f>
        <v>ORD-5300</v>
      </c>
      <c r="B301" s="8">
        <f>RawData!B301</f>
        <v>44932</v>
      </c>
      <c r="C301" s="5" t="str">
        <f>RawData!C301</f>
        <v>C2123</v>
      </c>
      <c r="D301" s="5" t="str">
        <f>VLOOKUP(C301, Customers!A:B,2,FALSE)</f>
        <v/>
      </c>
      <c r="E301" s="5" t="str">
        <f>RawData!D301</f>
        <v>P1018</v>
      </c>
      <c r="G301" s="5" t="str">
        <f t="array" ref="G301">XLOOKUP(E301, Products!A:A, Products!C:C)</f>
        <v>Electronics</v>
      </c>
      <c r="H301" s="5">
        <f>RawData!E301</f>
        <v>4</v>
      </c>
      <c r="I301" s="5">
        <f>RawData!F301</f>
        <v>131.34</v>
      </c>
      <c r="J301" s="5">
        <f>RawData!G301</f>
        <v>525.36</v>
      </c>
      <c r="K301" s="5" t="str">
        <f>RawData!H301</f>
        <v>East</v>
      </c>
      <c r="L301" s="5" t="str">
        <f t="shared" si="1"/>
        <v>Jan</v>
      </c>
    </row>
    <row r="302">
      <c r="A302" s="5" t="str">
        <f>RawData!A302</f>
        <v>ORD-5301</v>
      </c>
      <c r="B302" s="8">
        <f>RawData!B302</f>
        <v>45982</v>
      </c>
      <c r="C302" s="5" t="str">
        <f>RawData!C302</f>
        <v>C2203</v>
      </c>
      <c r="D302" s="5" t="str">
        <f>VLOOKUP(C302, Customers!A:B,2,FALSE)</f>
        <v/>
      </c>
      <c r="E302" s="5" t="str">
        <f>RawData!D302</f>
        <v>P1031</v>
      </c>
      <c r="G302" s="5" t="str">
        <f t="array" ref="G302">XLOOKUP(E302, Products!A:A, Products!C:C)</f>
        <v>Furniture</v>
      </c>
      <c r="H302" s="5">
        <f>RawData!E302</f>
        <v>3</v>
      </c>
      <c r="I302" s="5">
        <f>RawData!F302</f>
        <v>44.18</v>
      </c>
      <c r="J302" s="5">
        <f>RawData!G302</f>
        <v>132.54</v>
      </c>
      <c r="K302" s="5" t="str">
        <f>RawData!H302</f>
        <v>East</v>
      </c>
      <c r="L302" s="5" t="str">
        <f t="shared" si="1"/>
        <v>Nov</v>
      </c>
    </row>
    <row r="303">
      <c r="A303" s="5" t="str">
        <f>RawData!A303</f>
        <v>ORD-5302</v>
      </c>
      <c r="B303" s="8">
        <f>RawData!B303</f>
        <v>45211</v>
      </c>
      <c r="C303" s="5" t="str">
        <f>RawData!C303</f>
        <v>C2161</v>
      </c>
      <c r="D303" s="5" t="str">
        <f>VLOOKUP(C303, Customers!A:B,2,FALSE)</f>
        <v/>
      </c>
      <c r="E303" s="5" t="str">
        <f>RawData!D303</f>
        <v>P1020</v>
      </c>
      <c r="G303" s="5" t="str">
        <f t="array" ref="G303">XLOOKUP(E303, Products!A:A, Products!C:C)</f>
        <v>Furniture</v>
      </c>
      <c r="H303" s="5">
        <f>RawData!E303</f>
        <v>10</v>
      </c>
      <c r="I303" s="5">
        <f>RawData!F303</f>
        <v>94.59</v>
      </c>
      <c r="J303" s="5">
        <f>RawData!G303</f>
        <v>945.9</v>
      </c>
      <c r="K303" s="5" t="str">
        <f>RawData!H303</f>
        <v>South</v>
      </c>
      <c r="L303" s="5" t="str">
        <f t="shared" si="1"/>
        <v>Oct</v>
      </c>
    </row>
    <row r="304">
      <c r="A304" s="5" t="str">
        <f>RawData!A304</f>
        <v>ORD-5303</v>
      </c>
      <c r="B304" s="8">
        <f>RawData!B304</f>
        <v>44909</v>
      </c>
      <c r="C304" s="5" t="str">
        <f>RawData!C304</f>
        <v>C2457</v>
      </c>
      <c r="D304" s="5" t="str">
        <f>VLOOKUP(C304, Customers!A:B,2,FALSE)</f>
        <v>Mia Edwards</v>
      </c>
      <c r="E304" s="5" t="str">
        <f>RawData!D304</f>
        <v>P1006</v>
      </c>
      <c r="G304" s="5" t="str">
        <f t="array" ref="G304">XLOOKUP(E304, Products!A:A, Products!C:C)</f>
        <v>Electronics</v>
      </c>
      <c r="H304" s="5">
        <f>RawData!E304</f>
        <v>1</v>
      </c>
      <c r="I304" s="5">
        <f>RawData!F304</f>
        <v>143.58</v>
      </c>
      <c r="J304" s="5">
        <f>RawData!G304</f>
        <v>143.58</v>
      </c>
      <c r="K304" s="5" t="str">
        <f>RawData!H304</f>
        <v>East</v>
      </c>
      <c r="L304" s="5" t="str">
        <f t="shared" si="1"/>
        <v>Dec</v>
      </c>
    </row>
    <row r="305">
      <c r="A305" s="5" t="str">
        <f>RawData!A305</f>
        <v>ORD-5304</v>
      </c>
      <c r="B305" s="8">
        <f>RawData!B305</f>
        <v>44951</v>
      </c>
      <c r="C305" s="5" t="str">
        <f>RawData!C305</f>
        <v>C2378</v>
      </c>
      <c r="D305" s="5" t="str">
        <f>VLOOKUP(C305, Customers!A:B,2,FALSE)</f>
        <v/>
      </c>
      <c r="E305" s="5" t="str">
        <f>RawData!D305</f>
        <v>P1036</v>
      </c>
      <c r="G305" s="5" t="str">
        <f t="array" ref="G305">XLOOKUP(E305, Products!A:A, Products!C:C)</f>
        <v>Fashion</v>
      </c>
      <c r="H305" s="5">
        <f>RawData!E305</f>
        <v>1</v>
      </c>
      <c r="I305" s="5">
        <f>RawData!F305</f>
        <v>146.68</v>
      </c>
      <c r="J305" s="5">
        <f>RawData!G305</f>
        <v>146.68</v>
      </c>
      <c r="K305" s="5" t="str">
        <f>RawData!H305</f>
        <v>North</v>
      </c>
      <c r="L305" s="5" t="str">
        <f t="shared" si="1"/>
        <v>Jan</v>
      </c>
    </row>
    <row r="306">
      <c r="A306" s="5" t="str">
        <f>RawData!A306</f>
        <v>ORD-5305</v>
      </c>
      <c r="B306" s="8">
        <f>RawData!B306</f>
        <v>45308</v>
      </c>
      <c r="C306" s="5" t="str">
        <f>RawData!C306</f>
        <v>C2451</v>
      </c>
      <c r="D306" s="5" t="str">
        <f>VLOOKUP(C306, Customers!A:B,2,FALSE)</f>
        <v/>
      </c>
      <c r="E306" s="5" t="str">
        <f>RawData!D306</f>
        <v>P1012</v>
      </c>
      <c r="G306" s="5" t="str">
        <f t="array" ref="G306">XLOOKUP(E306, Products!A:A, Products!C:C)</f>
        <v>Electronics</v>
      </c>
      <c r="H306" s="5">
        <f>RawData!E306</f>
        <v>4</v>
      </c>
      <c r="I306" s="5">
        <f>RawData!F306</f>
        <v>143.99</v>
      </c>
      <c r="J306" s="5">
        <f>RawData!G306</f>
        <v>575.96</v>
      </c>
      <c r="K306" s="5" t="str">
        <f>RawData!H306</f>
        <v>South</v>
      </c>
      <c r="L306" s="5" t="str">
        <f t="shared" si="1"/>
        <v>Jan</v>
      </c>
    </row>
    <row r="307">
      <c r="A307" s="5" t="str">
        <f>RawData!A307</f>
        <v>ORD-5306</v>
      </c>
      <c r="B307" s="8">
        <f>RawData!B307</f>
        <v>45792</v>
      </c>
      <c r="C307" s="5" t="str">
        <f>RawData!C307</f>
        <v>C2240</v>
      </c>
      <c r="D307" s="5" t="str">
        <f>VLOOKUP(C307, Customers!A:B,2,FALSE)</f>
        <v/>
      </c>
      <c r="E307" s="5" t="str">
        <f>RawData!D307</f>
        <v>P1011</v>
      </c>
      <c r="G307" s="5" t="str">
        <f t="array" ref="G307">XLOOKUP(E307, Products!A:A, Products!C:C)</f>
        <v>Home</v>
      </c>
      <c r="H307" s="5">
        <f>RawData!E307</f>
        <v>7</v>
      </c>
      <c r="I307" s="5">
        <f>RawData!F307</f>
        <v>114.21</v>
      </c>
      <c r="J307" s="5">
        <f>RawData!G307</f>
        <v>799.47</v>
      </c>
      <c r="K307" s="5" t="str">
        <f>RawData!H307</f>
        <v>West</v>
      </c>
      <c r="L307" s="5" t="str">
        <f t="shared" si="1"/>
        <v>May</v>
      </c>
    </row>
    <row r="308">
      <c r="A308" s="5" t="str">
        <f>RawData!A308</f>
        <v>ORD-5307</v>
      </c>
      <c r="B308" s="8">
        <f>RawData!B308</f>
        <v>44802</v>
      </c>
      <c r="C308" s="5" t="str">
        <f>RawData!C308</f>
        <v>C2303</v>
      </c>
      <c r="D308" s="5" t="str">
        <f>VLOOKUP(C308, Customers!A:B,2,FALSE)</f>
        <v/>
      </c>
      <c r="E308" s="5" t="str">
        <f>RawData!D308</f>
        <v>P1033</v>
      </c>
      <c r="G308" s="5" t="str">
        <f t="array" ref="G308">XLOOKUP(E308, Products!A:A, Products!C:C)</f>
        <v>Accessories</v>
      </c>
      <c r="H308" s="5">
        <f>RawData!E308</f>
        <v>9</v>
      </c>
      <c r="I308" s="5">
        <f>RawData!F308</f>
        <v>170.73</v>
      </c>
      <c r="J308" s="5">
        <f>RawData!G308</f>
        <v>1536.57</v>
      </c>
      <c r="K308" s="5" t="str">
        <f>RawData!H308</f>
        <v>North</v>
      </c>
      <c r="L308" s="5" t="str">
        <f t="shared" si="1"/>
        <v>Aug</v>
      </c>
    </row>
    <row r="309">
      <c r="A309" s="5" t="str">
        <f>RawData!A309</f>
        <v>ORD-5308</v>
      </c>
      <c r="B309" s="8">
        <f>RawData!B309</f>
        <v>44703</v>
      </c>
      <c r="C309" s="5" t="str">
        <f>RawData!C309</f>
        <v>C2421</v>
      </c>
      <c r="D309" s="5" t="str">
        <f>VLOOKUP(C309, Customers!A:B,2,FALSE)</f>
        <v/>
      </c>
      <c r="E309" s="5" t="str">
        <f>RawData!D309</f>
        <v>P1032</v>
      </c>
      <c r="G309" s="5" t="str">
        <f t="array" ref="G309">XLOOKUP(E309, Products!A:A, Products!C:C)</f>
        <v>Fashion</v>
      </c>
      <c r="H309" s="5">
        <f>RawData!E309</f>
        <v>4</v>
      </c>
      <c r="I309" s="5">
        <f>RawData!F309</f>
        <v>52.33</v>
      </c>
      <c r="J309" s="5">
        <f>RawData!G309</f>
        <v>209.32</v>
      </c>
      <c r="K309" s="5" t="str">
        <f>RawData!H309</f>
        <v>South</v>
      </c>
      <c r="L309" s="5" t="str">
        <f t="shared" si="1"/>
        <v>May</v>
      </c>
    </row>
    <row r="310">
      <c r="A310" s="5" t="str">
        <f>RawData!A310</f>
        <v>ORD-5309</v>
      </c>
      <c r="B310" s="8">
        <f>RawData!B310</f>
        <v>45477</v>
      </c>
      <c r="C310" s="5" t="str">
        <f>RawData!C310</f>
        <v>C2431</v>
      </c>
      <c r="D310" s="5" t="str">
        <f>VLOOKUP(C310, Customers!A:B,2,FALSE)</f>
        <v/>
      </c>
      <c r="E310" s="5" t="str">
        <f>RawData!D310</f>
        <v>P1033</v>
      </c>
      <c r="G310" s="5" t="str">
        <f t="array" ref="G310">XLOOKUP(E310, Products!A:A, Products!C:C)</f>
        <v>Accessories</v>
      </c>
      <c r="H310" s="5">
        <f>RawData!E310</f>
        <v>1</v>
      </c>
      <c r="I310" s="5">
        <f>RawData!F310</f>
        <v>170.73</v>
      </c>
      <c r="J310" s="5">
        <f>RawData!G310</f>
        <v>170.73</v>
      </c>
      <c r="K310" s="5" t="str">
        <f>RawData!H310</f>
        <v>South</v>
      </c>
      <c r="L310" s="5" t="str">
        <f t="shared" si="1"/>
        <v>Jul</v>
      </c>
    </row>
    <row r="311">
      <c r="A311" s="5" t="str">
        <f>RawData!A311</f>
        <v>ORD-5310</v>
      </c>
      <c r="B311" s="8">
        <f>RawData!B311</f>
        <v>46054</v>
      </c>
      <c r="C311" s="5" t="str">
        <f>RawData!C311</f>
        <v>C2232</v>
      </c>
      <c r="D311" s="5" t="str">
        <f>VLOOKUP(C311, Customers!A:B,2,FALSE)</f>
        <v/>
      </c>
      <c r="E311" s="5" t="str">
        <f>RawData!D311</f>
        <v>P1050</v>
      </c>
      <c r="G311" s="5" t="str">
        <f t="array" ref="G311">XLOOKUP(E311, Products!A:A, Products!C:C)</f>
        <v>Electronics</v>
      </c>
      <c r="H311" s="5">
        <f>RawData!E311</f>
        <v>2</v>
      </c>
      <c r="I311" s="5">
        <f>RawData!F311</f>
        <v>161.48</v>
      </c>
      <c r="J311" s="5">
        <f>RawData!G311</f>
        <v>322.96</v>
      </c>
      <c r="K311" s="5" t="str">
        <f>RawData!H311</f>
        <v>South</v>
      </c>
      <c r="L311" s="5" t="str">
        <f t="shared" si="1"/>
        <v>Feb</v>
      </c>
    </row>
    <row r="312">
      <c r="A312" s="5" t="str">
        <f>RawData!A312</f>
        <v>ORD-5311</v>
      </c>
      <c r="B312" s="8">
        <f>RawData!B312</f>
        <v>45095</v>
      </c>
      <c r="C312" s="5" t="str">
        <f>RawData!C312</f>
        <v>C2188</v>
      </c>
      <c r="D312" s="5" t="str">
        <f>VLOOKUP(C312, Customers!A:B,2,FALSE)</f>
        <v/>
      </c>
      <c r="E312" s="5" t="str">
        <f>RawData!D312</f>
        <v>P1014</v>
      </c>
      <c r="G312" s="5" t="str">
        <f t="array" ref="G312">XLOOKUP(E312, Products!A:A, Products!C:C)</f>
        <v>Electronics</v>
      </c>
      <c r="H312" s="5">
        <f>RawData!E312</f>
        <v>2</v>
      </c>
      <c r="I312" s="5">
        <f>RawData!F312</f>
        <v>54.76</v>
      </c>
      <c r="J312" s="5">
        <f>RawData!G312</f>
        <v>109.52</v>
      </c>
      <c r="K312" s="5" t="str">
        <f>RawData!H312</f>
        <v>East</v>
      </c>
      <c r="L312" s="5" t="str">
        <f t="shared" si="1"/>
        <v>Jun</v>
      </c>
    </row>
    <row r="313">
      <c r="A313" s="5" t="str">
        <f>RawData!A313</f>
        <v>ORD-5312</v>
      </c>
      <c r="B313" s="8">
        <f>RawData!B313</f>
        <v>45042</v>
      </c>
      <c r="C313" s="5" t="str">
        <f>RawData!C313</f>
        <v>C2153</v>
      </c>
      <c r="D313" s="5" t="str">
        <f>VLOOKUP(C313, Customers!A:B,2,FALSE)</f>
        <v/>
      </c>
      <c r="E313" s="5" t="str">
        <f>RawData!D313</f>
        <v>P1042</v>
      </c>
      <c r="G313" s="5" t="str">
        <f t="array" ref="G313">XLOOKUP(E313, Products!A:A, Products!C:C)</f>
        <v>Electronics</v>
      </c>
      <c r="H313" s="5">
        <f>RawData!E313</f>
        <v>9</v>
      </c>
      <c r="I313" s="5">
        <f>RawData!F313</f>
        <v>90.5</v>
      </c>
      <c r="J313" s="5">
        <f>RawData!G313</f>
        <v>814.5</v>
      </c>
      <c r="K313" s="5" t="str">
        <f>RawData!H313</f>
        <v>South</v>
      </c>
      <c r="L313" s="5" t="str">
        <f t="shared" si="1"/>
        <v>Apr</v>
      </c>
    </row>
    <row r="314">
      <c r="A314" s="5" t="str">
        <f>RawData!A314</f>
        <v>ORD-5313</v>
      </c>
      <c r="B314" s="8">
        <f>RawData!B314</f>
        <v>45580</v>
      </c>
      <c r="C314" s="5" t="str">
        <f>RawData!C314</f>
        <v>C2324</v>
      </c>
      <c r="D314" s="5" t="str">
        <f>VLOOKUP(C314, Customers!A:B,2,FALSE)</f>
        <v/>
      </c>
      <c r="E314" s="5" t="str">
        <f>RawData!D314</f>
        <v>P1006</v>
      </c>
      <c r="G314" s="5" t="str">
        <f t="array" ref="G314">XLOOKUP(E314, Products!A:A, Products!C:C)</f>
        <v>Electronics</v>
      </c>
      <c r="H314" s="5">
        <f>RawData!E314</f>
        <v>1</v>
      </c>
      <c r="I314" s="5">
        <f>RawData!F314</f>
        <v>143.58</v>
      </c>
      <c r="J314" s="5">
        <f>RawData!G314</f>
        <v>143.58</v>
      </c>
      <c r="K314" s="5" t="str">
        <f>RawData!H314</f>
        <v>North</v>
      </c>
      <c r="L314" s="5" t="str">
        <f t="shared" si="1"/>
        <v>Oct</v>
      </c>
    </row>
    <row r="315">
      <c r="A315" s="5" t="str">
        <f>RawData!A315</f>
        <v>ORD-5314</v>
      </c>
      <c r="B315" s="8">
        <f>RawData!B315</f>
        <v>44991</v>
      </c>
      <c r="C315" s="5" t="str">
        <f>RawData!C315</f>
        <v>C2380</v>
      </c>
      <c r="D315" s="5" t="str">
        <f>VLOOKUP(C315, Customers!A:B,2,FALSE)</f>
        <v/>
      </c>
      <c r="E315" s="5" t="str">
        <f>RawData!D315</f>
        <v>P1037</v>
      </c>
      <c r="G315" s="5" t="str">
        <f t="array" ref="G315">XLOOKUP(E315, Products!A:A, Products!C:C)</f>
        <v>Electronics</v>
      </c>
      <c r="H315" s="5">
        <f>RawData!E315</f>
        <v>1</v>
      </c>
      <c r="I315" s="5">
        <f>RawData!F315</f>
        <v>115.76</v>
      </c>
      <c r="J315" s="5">
        <f>RawData!G315</f>
        <v>115.76</v>
      </c>
      <c r="K315" s="5" t="str">
        <f>RawData!H315</f>
        <v>East</v>
      </c>
      <c r="L315" s="5" t="str">
        <f t="shared" si="1"/>
        <v>Mar</v>
      </c>
    </row>
    <row r="316">
      <c r="A316" s="5" t="str">
        <f>RawData!A316</f>
        <v>ORD-5315</v>
      </c>
      <c r="B316" s="8">
        <f>RawData!B316</f>
        <v>45245</v>
      </c>
      <c r="C316" s="5" t="str">
        <f>RawData!C316</f>
        <v>C2176</v>
      </c>
      <c r="D316" s="5" t="str">
        <f>VLOOKUP(C316, Customers!A:B,2,FALSE)</f>
        <v/>
      </c>
      <c r="E316" s="5" t="str">
        <f>RawData!D316</f>
        <v>P1029</v>
      </c>
      <c r="G316" s="5" t="str">
        <f t="array" ref="G316">XLOOKUP(E316, Products!A:A, Products!C:C)</f>
        <v>Furniture</v>
      </c>
      <c r="H316" s="5">
        <f>RawData!E316</f>
        <v>4</v>
      </c>
      <c r="I316" s="5">
        <f>RawData!F316</f>
        <v>104.81</v>
      </c>
      <c r="J316" s="5">
        <f>RawData!G316</f>
        <v>419.24</v>
      </c>
      <c r="K316" s="5" t="str">
        <f>RawData!H316</f>
        <v>East</v>
      </c>
      <c r="L316" s="5" t="str">
        <f t="shared" si="1"/>
        <v>Nov</v>
      </c>
    </row>
    <row r="317">
      <c r="A317" s="5" t="str">
        <f>RawData!A317</f>
        <v>ORD-5316</v>
      </c>
      <c r="B317" s="8">
        <f>RawData!B317</f>
        <v>45277</v>
      </c>
      <c r="C317" s="5" t="str">
        <f>RawData!C317</f>
        <v>C2057</v>
      </c>
      <c r="D317" s="5" t="str">
        <f>VLOOKUP(C317, Customers!A:B,2,FALSE)</f>
        <v/>
      </c>
      <c r="E317" s="5" t="str">
        <f>RawData!D317</f>
        <v>P1005</v>
      </c>
      <c r="G317" s="5" t="str">
        <f t="array" ref="G317">XLOOKUP(E317, Products!A:A, Products!C:C)</f>
        <v>Furniture</v>
      </c>
      <c r="H317" s="5">
        <f>RawData!E317</f>
        <v>4</v>
      </c>
      <c r="I317" s="5">
        <f>RawData!F317</f>
        <v>160.49</v>
      </c>
      <c r="J317" s="5">
        <f>RawData!G317</f>
        <v>641.96</v>
      </c>
      <c r="K317" s="5" t="str">
        <f>RawData!H317</f>
        <v>West</v>
      </c>
      <c r="L317" s="5" t="str">
        <f t="shared" si="1"/>
        <v>Dec</v>
      </c>
    </row>
    <row r="318">
      <c r="A318" s="5" t="str">
        <f>RawData!A318</f>
        <v>ORD-5317</v>
      </c>
      <c r="B318" s="8">
        <f>RawData!B318</f>
        <v>44748</v>
      </c>
      <c r="C318" s="5" t="str">
        <f>RawData!C318</f>
        <v>C2310</v>
      </c>
      <c r="D318" s="5" t="str">
        <f>VLOOKUP(C318, Customers!A:B,2,FALSE)</f>
        <v/>
      </c>
      <c r="E318" s="5" t="str">
        <f>RawData!D318</f>
        <v>P1018</v>
      </c>
      <c r="G318" s="5" t="str">
        <f t="array" ref="G318">XLOOKUP(E318, Products!A:A, Products!C:C)</f>
        <v>Electronics</v>
      </c>
      <c r="H318" s="5">
        <f>RawData!E318</f>
        <v>5</v>
      </c>
      <c r="I318" s="5">
        <f>RawData!F318</f>
        <v>131.34</v>
      </c>
      <c r="J318" s="5">
        <f>RawData!G318</f>
        <v>656.7</v>
      </c>
      <c r="K318" s="5" t="str">
        <f>RawData!H318</f>
        <v>West</v>
      </c>
      <c r="L318" s="5" t="str">
        <f t="shared" si="1"/>
        <v>Jul</v>
      </c>
    </row>
    <row r="319">
      <c r="A319" s="5" t="str">
        <f>RawData!A319</f>
        <v>ORD-5318</v>
      </c>
      <c r="B319" s="8">
        <f>RawData!B319</f>
        <v>45773</v>
      </c>
      <c r="C319" s="5" t="str">
        <f>RawData!C319</f>
        <v>C2269</v>
      </c>
      <c r="D319" s="5" t="str">
        <f>VLOOKUP(C319, Customers!A:B,2,FALSE)</f>
        <v/>
      </c>
      <c r="E319" s="5" t="str">
        <f>RawData!D319</f>
        <v>P1032</v>
      </c>
      <c r="G319" s="5" t="str">
        <f t="array" ref="G319">XLOOKUP(E319, Products!A:A, Products!C:C)</f>
        <v>Fashion</v>
      </c>
      <c r="H319" s="5">
        <f>RawData!E319</f>
        <v>10</v>
      </c>
      <c r="I319" s="5">
        <f>RawData!F319</f>
        <v>52.33</v>
      </c>
      <c r="J319" s="5">
        <f>RawData!G319</f>
        <v>523.3</v>
      </c>
      <c r="K319" s="5" t="str">
        <f>RawData!H319</f>
        <v>West</v>
      </c>
      <c r="L319" s="5" t="str">
        <f t="shared" si="1"/>
        <v>Apr</v>
      </c>
    </row>
    <row r="320">
      <c r="A320" s="5" t="str">
        <f>RawData!A320</f>
        <v>ORD-5319</v>
      </c>
      <c r="B320" s="8">
        <f>RawData!B320</f>
        <v>45456</v>
      </c>
      <c r="C320" s="5" t="str">
        <f>RawData!C320</f>
        <v>C2434</v>
      </c>
      <c r="D320" s="5" t="str">
        <f>VLOOKUP(C320, Customers!A:B,2,FALSE)</f>
        <v/>
      </c>
      <c r="E320" s="5" t="str">
        <f>RawData!D320</f>
        <v>P1020</v>
      </c>
      <c r="G320" s="5" t="str">
        <f t="array" ref="G320">XLOOKUP(E320, Products!A:A, Products!C:C)</f>
        <v>Furniture</v>
      </c>
      <c r="H320" s="5">
        <f>RawData!E320</f>
        <v>8</v>
      </c>
      <c r="I320" s="5">
        <f>RawData!F320</f>
        <v>94.59</v>
      </c>
      <c r="J320" s="5">
        <f>RawData!G320</f>
        <v>756.72</v>
      </c>
      <c r="K320" s="5" t="str">
        <f>RawData!H320</f>
        <v>East</v>
      </c>
      <c r="L320" s="5" t="str">
        <f t="shared" si="1"/>
        <v>Jun</v>
      </c>
    </row>
    <row r="321">
      <c r="A321" s="5" t="str">
        <f>RawData!A321</f>
        <v>ORD-5320</v>
      </c>
      <c r="B321" s="8">
        <f>RawData!B321</f>
        <v>45765</v>
      </c>
      <c r="C321" s="5" t="str">
        <f>RawData!C321</f>
        <v>C2289</v>
      </c>
      <c r="D321" s="5" t="str">
        <f>VLOOKUP(C321, Customers!A:B,2,FALSE)</f>
        <v/>
      </c>
      <c r="E321" s="5" t="str">
        <f>RawData!D321</f>
        <v>P1008</v>
      </c>
      <c r="G321" s="5" t="str">
        <f t="array" ref="G321">XLOOKUP(E321, Products!A:A, Products!C:C)</f>
        <v>Accessories</v>
      </c>
      <c r="H321" s="5">
        <f>RawData!E321</f>
        <v>2</v>
      </c>
      <c r="I321" s="5">
        <f>RawData!F321</f>
        <v>190.65</v>
      </c>
      <c r="J321" s="5">
        <f>RawData!G321</f>
        <v>381.3</v>
      </c>
      <c r="K321" s="5" t="str">
        <f>RawData!H321</f>
        <v>North</v>
      </c>
      <c r="L321" s="5" t="str">
        <f t="shared" si="1"/>
        <v>Apr</v>
      </c>
    </row>
    <row r="322">
      <c r="A322" s="5" t="str">
        <f>RawData!A322</f>
        <v>ORD-5321</v>
      </c>
      <c r="B322" s="8">
        <f>RawData!B322</f>
        <v>45848</v>
      </c>
      <c r="C322" s="5" t="str">
        <f>RawData!C322</f>
        <v>C2199</v>
      </c>
      <c r="D322" s="5" t="str">
        <f>VLOOKUP(C322, Customers!A:B,2,FALSE)</f>
        <v/>
      </c>
      <c r="E322" s="5" t="str">
        <f>RawData!D322</f>
        <v>P1049</v>
      </c>
      <c r="G322" s="5" t="str">
        <f t="array" ref="G322">XLOOKUP(E322, Products!A:A, Products!C:C)</f>
        <v>Accessories</v>
      </c>
      <c r="H322" s="5">
        <f>RawData!E322</f>
        <v>6</v>
      </c>
      <c r="I322" s="5">
        <f>RawData!F322</f>
        <v>62.86</v>
      </c>
      <c r="J322" s="5">
        <f>RawData!G322</f>
        <v>377.16</v>
      </c>
      <c r="K322" s="5" t="str">
        <f>RawData!H322</f>
        <v>South</v>
      </c>
      <c r="L322" s="5" t="str">
        <f t="shared" si="1"/>
        <v>Jul</v>
      </c>
    </row>
    <row r="323">
      <c r="A323" s="5" t="str">
        <f>RawData!A323</f>
        <v>ORD-5322</v>
      </c>
      <c r="B323" s="8">
        <f>RawData!B323</f>
        <v>45968</v>
      </c>
      <c r="C323" s="5" t="str">
        <f>RawData!C323</f>
        <v>C2112</v>
      </c>
      <c r="D323" s="5" t="str">
        <f>VLOOKUP(C323, Customers!A:B,2,FALSE)</f>
        <v/>
      </c>
      <c r="E323" s="5" t="str">
        <f>RawData!D323</f>
        <v>P1033</v>
      </c>
      <c r="G323" s="5" t="str">
        <f t="array" ref="G323">XLOOKUP(E323, Products!A:A, Products!C:C)</f>
        <v>Accessories</v>
      </c>
      <c r="H323" s="5">
        <f>RawData!E323</f>
        <v>8</v>
      </c>
      <c r="I323" s="5">
        <f>RawData!F323</f>
        <v>170.73</v>
      </c>
      <c r="J323" s="5">
        <f>RawData!G323</f>
        <v>1365.84</v>
      </c>
      <c r="K323" s="5" t="str">
        <f>RawData!H323</f>
        <v>South</v>
      </c>
      <c r="L323" s="5" t="str">
        <f t="shared" si="1"/>
        <v>Nov</v>
      </c>
    </row>
    <row r="324">
      <c r="A324" s="5" t="str">
        <f>RawData!A324</f>
        <v>ORD-5323</v>
      </c>
      <c r="B324" s="8">
        <f>RawData!B324</f>
        <v>45964</v>
      </c>
      <c r="C324" s="5" t="str">
        <f>RawData!C324</f>
        <v>C2086</v>
      </c>
      <c r="D324" s="5" t="str">
        <f>VLOOKUP(C324, Customers!A:B,2,FALSE)</f>
        <v/>
      </c>
      <c r="E324" s="5" t="str">
        <f>RawData!D324</f>
        <v>P1014</v>
      </c>
      <c r="G324" s="5" t="str">
        <f t="array" ref="G324">XLOOKUP(E324, Products!A:A, Products!C:C)</f>
        <v>Electronics</v>
      </c>
      <c r="H324" s="5">
        <f>RawData!E324</f>
        <v>1</v>
      </c>
      <c r="I324" s="5">
        <f>RawData!F324</f>
        <v>54.76</v>
      </c>
      <c r="J324" s="5">
        <f>RawData!G324</f>
        <v>54.76</v>
      </c>
      <c r="K324" s="5" t="str">
        <f>RawData!H324</f>
        <v>North</v>
      </c>
      <c r="L324" s="5" t="str">
        <f t="shared" si="1"/>
        <v>Nov</v>
      </c>
    </row>
    <row r="325">
      <c r="A325" s="5" t="str">
        <f>RawData!A325</f>
        <v>ORD-5324</v>
      </c>
      <c r="B325" s="8">
        <f>RawData!B325</f>
        <v>45613</v>
      </c>
      <c r="C325" s="5" t="str">
        <f>RawData!C325</f>
        <v>C2499</v>
      </c>
      <c r="D325" s="5" t="str">
        <f>VLOOKUP(C325, Customers!A:B,2,FALSE)</f>
        <v/>
      </c>
      <c r="E325" s="5" t="str">
        <f>RawData!D325</f>
        <v>P1003</v>
      </c>
      <c r="G325" s="5" t="str">
        <f t="array" ref="G325">XLOOKUP(E325, Products!A:A, Products!C:C)</f>
        <v>Electronics</v>
      </c>
      <c r="H325" s="5">
        <f>RawData!E325</f>
        <v>6</v>
      </c>
      <c r="I325" s="5">
        <f>RawData!F325</f>
        <v>187.26</v>
      </c>
      <c r="J325" s="5">
        <f>RawData!G325</f>
        <v>1123.56</v>
      </c>
      <c r="K325" s="5" t="str">
        <f>RawData!H325</f>
        <v>North</v>
      </c>
      <c r="L325" s="5" t="str">
        <f t="shared" si="1"/>
        <v>Nov</v>
      </c>
    </row>
    <row r="326">
      <c r="A326" s="5" t="str">
        <f>RawData!A326</f>
        <v>ORD-5325</v>
      </c>
      <c r="B326" s="8">
        <f>RawData!B326</f>
        <v>45646</v>
      </c>
      <c r="C326" s="5" t="str">
        <f>RawData!C326</f>
        <v>C2176</v>
      </c>
      <c r="D326" s="5" t="str">
        <f>VLOOKUP(C326, Customers!A:B,2,FALSE)</f>
        <v/>
      </c>
      <c r="E326" s="5" t="str">
        <f>RawData!D326</f>
        <v>P1014</v>
      </c>
      <c r="G326" s="5" t="str">
        <f t="array" ref="G326">XLOOKUP(E326, Products!A:A, Products!C:C)</f>
        <v>Electronics</v>
      </c>
      <c r="H326" s="5">
        <f>RawData!E326</f>
        <v>7</v>
      </c>
      <c r="I326" s="5">
        <f>RawData!F326</f>
        <v>54.76</v>
      </c>
      <c r="J326" s="5">
        <f>RawData!G326</f>
        <v>383.32</v>
      </c>
      <c r="K326" s="5" t="str">
        <f>RawData!H326</f>
        <v>North</v>
      </c>
      <c r="L326" s="5" t="str">
        <f t="shared" si="1"/>
        <v>Dec</v>
      </c>
    </row>
    <row r="327">
      <c r="A327" s="5" t="str">
        <f>RawData!A327</f>
        <v>ORD-5326</v>
      </c>
      <c r="B327" s="8">
        <f>RawData!B327</f>
        <v>44897</v>
      </c>
      <c r="C327" s="5" t="str">
        <f>RawData!C327</f>
        <v>C2462</v>
      </c>
      <c r="D327" s="5" t="str">
        <f>VLOOKUP(C327, Customers!A:B,2,FALSE)</f>
        <v/>
      </c>
      <c r="E327" s="5" t="str">
        <f>RawData!D327</f>
        <v>P1011</v>
      </c>
      <c r="G327" s="5" t="str">
        <f t="array" ref="G327">XLOOKUP(E327, Products!A:A, Products!C:C)</f>
        <v>Home</v>
      </c>
      <c r="H327" s="5">
        <f>RawData!E327</f>
        <v>3</v>
      </c>
      <c r="I327" s="5">
        <f>RawData!F327</f>
        <v>114.21</v>
      </c>
      <c r="J327" s="5">
        <f>RawData!G327</f>
        <v>342.63</v>
      </c>
      <c r="K327" s="5" t="str">
        <f>RawData!H327</f>
        <v>South</v>
      </c>
      <c r="L327" s="5" t="str">
        <f t="shared" si="1"/>
        <v>Dec</v>
      </c>
    </row>
    <row r="328">
      <c r="A328" s="5" t="str">
        <f>RawData!A328</f>
        <v>ORD-5327</v>
      </c>
      <c r="B328" s="8">
        <f>RawData!B328</f>
        <v>45070</v>
      </c>
      <c r="C328" s="5" t="str">
        <f>RawData!C328</f>
        <v>C2016</v>
      </c>
      <c r="D328" s="5" t="str">
        <f>VLOOKUP(C328, Customers!A:B,2,FALSE)</f>
        <v/>
      </c>
      <c r="E328" s="5" t="str">
        <f>RawData!D328</f>
        <v>P1012</v>
      </c>
      <c r="G328" s="5" t="str">
        <f t="array" ref="G328">XLOOKUP(E328, Products!A:A, Products!C:C)</f>
        <v>Electronics</v>
      </c>
      <c r="H328" s="5">
        <f>RawData!E328</f>
        <v>8</v>
      </c>
      <c r="I328" s="5">
        <f>RawData!F328</f>
        <v>143.99</v>
      </c>
      <c r="J328" s="5">
        <f>RawData!G328</f>
        <v>1151.92</v>
      </c>
      <c r="K328" s="5" t="str">
        <f>RawData!H328</f>
        <v>West</v>
      </c>
      <c r="L328" s="5" t="str">
        <f t="shared" si="1"/>
        <v>May</v>
      </c>
    </row>
    <row r="329">
      <c r="A329" s="5" t="str">
        <f>RawData!A329</f>
        <v>ORD-5328</v>
      </c>
      <c r="B329" s="8">
        <f>RawData!B329</f>
        <v>45687</v>
      </c>
      <c r="C329" s="5" t="str">
        <f>RawData!C329</f>
        <v>C2456</v>
      </c>
      <c r="D329" s="5" t="str">
        <f>VLOOKUP(C329, Customers!A:B,2,FALSE)</f>
        <v/>
      </c>
      <c r="E329" s="5" t="str">
        <f>RawData!D329</f>
        <v>P1033</v>
      </c>
      <c r="G329" s="5" t="str">
        <f t="array" ref="G329">XLOOKUP(E329, Products!A:A, Products!C:C)</f>
        <v>Accessories</v>
      </c>
      <c r="H329" s="5">
        <f>RawData!E329</f>
        <v>10</v>
      </c>
      <c r="I329" s="5">
        <f>RawData!F329</f>
        <v>170.73</v>
      </c>
      <c r="J329" s="5">
        <f>RawData!G329</f>
        <v>1707.3</v>
      </c>
      <c r="K329" s="5" t="str">
        <f>RawData!H329</f>
        <v>East</v>
      </c>
      <c r="L329" s="5" t="str">
        <f t="shared" si="1"/>
        <v>Jan</v>
      </c>
    </row>
    <row r="330">
      <c r="A330" s="5" t="str">
        <f>RawData!A330</f>
        <v>ORD-5329</v>
      </c>
      <c r="B330" s="8">
        <f>RawData!B330</f>
        <v>45210</v>
      </c>
      <c r="C330" s="5" t="str">
        <f>RawData!C330</f>
        <v>C2066</v>
      </c>
      <c r="D330" s="5" t="str">
        <f>VLOOKUP(C330, Customers!A:B,2,FALSE)</f>
        <v/>
      </c>
      <c r="E330" s="5" t="str">
        <f>RawData!D330</f>
        <v>P1006</v>
      </c>
      <c r="G330" s="5" t="str">
        <f t="array" ref="G330">XLOOKUP(E330, Products!A:A, Products!C:C)</f>
        <v>Electronics</v>
      </c>
      <c r="H330" s="5">
        <f>RawData!E330</f>
        <v>4</v>
      </c>
      <c r="I330" s="5">
        <f>RawData!F330</f>
        <v>143.58</v>
      </c>
      <c r="J330" s="5">
        <f>RawData!G330</f>
        <v>574.32</v>
      </c>
      <c r="K330" s="5" t="str">
        <f>RawData!H330</f>
        <v>West</v>
      </c>
      <c r="L330" s="5" t="str">
        <f t="shared" si="1"/>
        <v>Oct</v>
      </c>
    </row>
    <row r="331">
      <c r="A331" s="5" t="str">
        <f>RawData!A331</f>
        <v>ORD-5330</v>
      </c>
      <c r="B331" s="8">
        <f>RawData!B331</f>
        <v>45437</v>
      </c>
      <c r="C331" s="5" t="str">
        <f>RawData!C331</f>
        <v>C2187</v>
      </c>
      <c r="D331" s="5" t="str">
        <f>VLOOKUP(C331, Customers!A:B,2,FALSE)</f>
        <v/>
      </c>
      <c r="E331" s="5" t="str">
        <f>RawData!D331</f>
        <v>P1029</v>
      </c>
      <c r="G331" s="5" t="str">
        <f t="array" ref="G331">XLOOKUP(E331, Products!A:A, Products!C:C)</f>
        <v>Furniture</v>
      </c>
      <c r="H331" s="5">
        <f>RawData!E331</f>
        <v>8</v>
      </c>
      <c r="I331" s="5">
        <f>RawData!F331</f>
        <v>104.81</v>
      </c>
      <c r="J331" s="5">
        <f>RawData!G331</f>
        <v>838.48</v>
      </c>
      <c r="K331" s="5" t="str">
        <f>RawData!H331</f>
        <v>North</v>
      </c>
      <c r="L331" s="5" t="str">
        <f t="shared" si="1"/>
        <v>May</v>
      </c>
    </row>
    <row r="332">
      <c r="A332" s="5" t="str">
        <f>RawData!A332</f>
        <v>ORD-5331</v>
      </c>
      <c r="B332" s="8">
        <f>RawData!B332</f>
        <v>45109</v>
      </c>
      <c r="C332" s="5" t="str">
        <f>RawData!C332</f>
        <v>C2408</v>
      </c>
      <c r="D332" s="5" t="str">
        <f>VLOOKUP(C332, Customers!A:B,2,FALSE)</f>
        <v/>
      </c>
      <c r="E332" s="5" t="str">
        <f>RawData!D332</f>
        <v>P1021</v>
      </c>
      <c r="G332" s="5" t="str">
        <f t="array" ref="G332">XLOOKUP(E332, Products!A:A, Products!C:C)</f>
        <v>Electronics</v>
      </c>
      <c r="H332" s="5">
        <f>RawData!E332</f>
        <v>4</v>
      </c>
      <c r="I332" s="5">
        <f>RawData!F332</f>
        <v>140.72</v>
      </c>
      <c r="J332" s="5">
        <f>RawData!G332</f>
        <v>562.88</v>
      </c>
      <c r="K332" s="5" t="str">
        <f>RawData!H332</f>
        <v>South</v>
      </c>
      <c r="L332" s="5" t="str">
        <f t="shared" si="1"/>
        <v>Jul</v>
      </c>
    </row>
    <row r="333">
      <c r="A333" s="5" t="str">
        <f>RawData!A333</f>
        <v>ORD-5332</v>
      </c>
      <c r="B333" s="8">
        <f>RawData!B333</f>
        <v>45310</v>
      </c>
      <c r="C333" s="5" t="str">
        <f>RawData!C333</f>
        <v>C2155</v>
      </c>
      <c r="D333" s="5" t="str">
        <f>VLOOKUP(C333, Customers!A:B,2,FALSE)</f>
        <v/>
      </c>
      <c r="E333" s="5" t="str">
        <f>RawData!D333</f>
        <v>P1029</v>
      </c>
      <c r="G333" s="5" t="str">
        <f t="array" ref="G333">XLOOKUP(E333, Products!A:A, Products!C:C)</f>
        <v>Furniture</v>
      </c>
      <c r="H333" s="5">
        <f>RawData!E333</f>
        <v>9</v>
      </c>
      <c r="I333" s="5">
        <f>RawData!F333</f>
        <v>104.81</v>
      </c>
      <c r="J333" s="5">
        <f>RawData!G333</f>
        <v>943.29</v>
      </c>
      <c r="K333" s="5" t="str">
        <f>RawData!H333</f>
        <v>South</v>
      </c>
      <c r="L333" s="5" t="str">
        <f t="shared" si="1"/>
        <v>Jan</v>
      </c>
    </row>
    <row r="334">
      <c r="A334" s="5" t="str">
        <f>RawData!A334</f>
        <v>ORD-5333</v>
      </c>
      <c r="B334" s="8">
        <f>RawData!B334</f>
        <v>45814</v>
      </c>
      <c r="C334" s="5" t="str">
        <f>RawData!C334</f>
        <v>C2415</v>
      </c>
      <c r="D334" s="5" t="str">
        <f>VLOOKUP(C334, Customers!A:B,2,FALSE)</f>
        <v/>
      </c>
      <c r="E334" s="5" t="str">
        <f>RawData!D334</f>
        <v>P1021</v>
      </c>
      <c r="G334" s="5" t="str">
        <f t="array" ref="G334">XLOOKUP(E334, Products!A:A, Products!C:C)</f>
        <v>Electronics</v>
      </c>
      <c r="H334" s="5">
        <f>RawData!E334</f>
        <v>8</v>
      </c>
      <c r="I334" s="5">
        <f>RawData!F334</f>
        <v>140.72</v>
      </c>
      <c r="J334" s="5">
        <f>RawData!G334</f>
        <v>1125.76</v>
      </c>
      <c r="K334" s="5" t="str">
        <f>RawData!H334</f>
        <v>North</v>
      </c>
      <c r="L334" s="5" t="str">
        <f t="shared" si="1"/>
        <v>Jun</v>
      </c>
    </row>
    <row r="335">
      <c r="A335" s="5" t="str">
        <f>RawData!A335</f>
        <v>ORD-5334</v>
      </c>
      <c r="B335" s="8">
        <f>RawData!B335</f>
        <v>45986</v>
      </c>
      <c r="C335" s="5" t="str">
        <f>RawData!C335</f>
        <v>C2491</v>
      </c>
      <c r="D335" s="5" t="str">
        <f>VLOOKUP(C335, Customers!A:B,2,FALSE)</f>
        <v/>
      </c>
      <c r="E335" s="5" t="str">
        <f>RawData!D335</f>
        <v>P1006</v>
      </c>
      <c r="G335" s="5" t="str">
        <f t="array" ref="G335">XLOOKUP(E335, Products!A:A, Products!C:C)</f>
        <v>Electronics</v>
      </c>
      <c r="H335" s="5">
        <f>RawData!E335</f>
        <v>5</v>
      </c>
      <c r="I335" s="5">
        <f>RawData!F335</f>
        <v>143.58</v>
      </c>
      <c r="J335" s="5">
        <f>RawData!G335</f>
        <v>717.9</v>
      </c>
      <c r="K335" s="5" t="str">
        <f>RawData!H335</f>
        <v>West</v>
      </c>
      <c r="L335" s="5" t="str">
        <f t="shared" si="1"/>
        <v>Nov</v>
      </c>
    </row>
    <row r="336">
      <c r="A336" s="5" t="str">
        <f>RawData!A336</f>
        <v>ORD-5335</v>
      </c>
      <c r="B336" s="8">
        <f>RawData!B336</f>
        <v>44971</v>
      </c>
      <c r="C336" s="5" t="str">
        <f>RawData!C336</f>
        <v>C2486</v>
      </c>
      <c r="D336" s="5" t="str">
        <f>VLOOKUP(C336, Customers!A:B,2,FALSE)</f>
        <v/>
      </c>
      <c r="E336" s="5" t="str">
        <f>RawData!D336</f>
        <v>P1022</v>
      </c>
      <c r="G336" s="5" t="str">
        <f t="array" ref="G336">XLOOKUP(E336, Products!A:A, Products!C:C)</f>
        <v>Accessories</v>
      </c>
      <c r="H336" s="5">
        <f>RawData!E336</f>
        <v>8</v>
      </c>
      <c r="I336" s="5">
        <f>RawData!F336</f>
        <v>164.53</v>
      </c>
      <c r="J336" s="5">
        <f>RawData!G336</f>
        <v>1316.24</v>
      </c>
      <c r="K336" s="5" t="str">
        <f>RawData!H336</f>
        <v>West</v>
      </c>
      <c r="L336" s="5" t="str">
        <f t="shared" si="1"/>
        <v>Feb</v>
      </c>
    </row>
    <row r="337">
      <c r="A337" s="5" t="str">
        <f>RawData!A337</f>
        <v>ORD-5336</v>
      </c>
      <c r="B337" s="8">
        <f>RawData!B337</f>
        <v>45681</v>
      </c>
      <c r="C337" s="5" t="str">
        <f>RawData!C337</f>
        <v>C2328</v>
      </c>
      <c r="D337" s="5" t="str">
        <f>VLOOKUP(C337, Customers!A:B,2,FALSE)</f>
        <v/>
      </c>
      <c r="E337" s="5" t="str">
        <f>RawData!D337</f>
        <v>P1009</v>
      </c>
      <c r="G337" s="5" t="str">
        <f t="array" ref="G337">XLOOKUP(E337, Products!A:A, Products!C:C)</f>
        <v>Electronics</v>
      </c>
      <c r="H337" s="5">
        <f>RawData!E337</f>
        <v>7</v>
      </c>
      <c r="I337" s="5">
        <f>RawData!F337</f>
        <v>74.83</v>
      </c>
      <c r="J337" s="5">
        <f>RawData!G337</f>
        <v>523.81</v>
      </c>
      <c r="K337" s="5" t="str">
        <f>RawData!H337</f>
        <v>East</v>
      </c>
      <c r="L337" s="5" t="str">
        <f t="shared" si="1"/>
        <v>Jan</v>
      </c>
    </row>
    <row r="338">
      <c r="A338" s="5" t="str">
        <f>RawData!A338</f>
        <v>ORD-5337</v>
      </c>
      <c r="B338" s="8">
        <f>RawData!B338</f>
        <v>45550</v>
      </c>
      <c r="C338" s="5" t="str">
        <f>RawData!C338</f>
        <v>C2325</v>
      </c>
      <c r="D338" s="5" t="str">
        <f>VLOOKUP(C338, Customers!A:B,2,FALSE)</f>
        <v/>
      </c>
      <c r="E338" s="5" t="str">
        <f>RawData!D338</f>
        <v>P1026</v>
      </c>
      <c r="G338" s="5" t="str">
        <f t="array" ref="G338">XLOOKUP(E338, Products!A:A, Products!C:C)</f>
        <v>Home</v>
      </c>
      <c r="H338" s="5">
        <f>RawData!E338</f>
        <v>7</v>
      </c>
      <c r="I338" s="5">
        <f>RawData!F338</f>
        <v>128.23</v>
      </c>
      <c r="J338" s="5">
        <f>RawData!G338</f>
        <v>897.61</v>
      </c>
      <c r="K338" s="5" t="str">
        <f>RawData!H338</f>
        <v>West</v>
      </c>
      <c r="L338" s="5" t="str">
        <f t="shared" si="1"/>
        <v>Sep</v>
      </c>
    </row>
    <row r="339">
      <c r="A339" s="5" t="str">
        <f>RawData!A339</f>
        <v>ORD-5338</v>
      </c>
      <c r="B339" s="8">
        <f>RawData!B339</f>
        <v>45771</v>
      </c>
      <c r="C339" s="5" t="str">
        <f>RawData!C339</f>
        <v>C2366</v>
      </c>
      <c r="D339" s="5" t="str">
        <f>VLOOKUP(C339, Customers!A:B,2,FALSE)</f>
        <v/>
      </c>
      <c r="E339" s="5" t="str">
        <f>RawData!D339</f>
        <v>P1029</v>
      </c>
      <c r="G339" s="5" t="str">
        <f t="array" ref="G339">XLOOKUP(E339, Products!A:A, Products!C:C)</f>
        <v>Furniture</v>
      </c>
      <c r="H339" s="5">
        <f>RawData!E339</f>
        <v>7</v>
      </c>
      <c r="I339" s="5">
        <f>RawData!F339</f>
        <v>104.81</v>
      </c>
      <c r="J339" s="5">
        <f>RawData!G339</f>
        <v>733.67</v>
      </c>
      <c r="K339" s="5" t="str">
        <f>RawData!H339</f>
        <v>North</v>
      </c>
      <c r="L339" s="5" t="str">
        <f t="shared" si="1"/>
        <v>Apr</v>
      </c>
    </row>
    <row r="340">
      <c r="A340" s="5" t="str">
        <f>RawData!A340</f>
        <v>ORD-5339</v>
      </c>
      <c r="B340" s="8">
        <f>RawData!B340</f>
        <v>44807</v>
      </c>
      <c r="C340" s="5" t="str">
        <f>RawData!C340</f>
        <v>C2389</v>
      </c>
      <c r="D340" s="5" t="str">
        <f>VLOOKUP(C340, Customers!A:B,2,FALSE)</f>
        <v/>
      </c>
      <c r="E340" s="5" t="str">
        <f>RawData!D340</f>
        <v>P1008</v>
      </c>
      <c r="G340" s="5" t="str">
        <f t="array" ref="G340">XLOOKUP(E340, Products!A:A, Products!C:C)</f>
        <v>Accessories</v>
      </c>
      <c r="H340" s="5">
        <f>RawData!E340</f>
        <v>7</v>
      </c>
      <c r="I340" s="5">
        <f>RawData!F340</f>
        <v>190.65</v>
      </c>
      <c r="J340" s="5">
        <f>RawData!G340</f>
        <v>1334.55</v>
      </c>
      <c r="K340" s="5" t="str">
        <f>RawData!H340</f>
        <v>West</v>
      </c>
      <c r="L340" s="5" t="str">
        <f t="shared" si="1"/>
        <v>Sep</v>
      </c>
    </row>
    <row r="341">
      <c r="A341" s="5" t="str">
        <f>RawData!A341</f>
        <v>ORD-5340</v>
      </c>
      <c r="B341" s="8">
        <f>RawData!B341</f>
        <v>44747</v>
      </c>
      <c r="C341" s="5" t="str">
        <f>RawData!C341</f>
        <v>C2154</v>
      </c>
      <c r="D341" s="5" t="str">
        <f>VLOOKUP(C341, Customers!A:B,2,FALSE)</f>
        <v/>
      </c>
      <c r="E341" s="5" t="str">
        <f>RawData!D341</f>
        <v>P1040</v>
      </c>
      <c r="G341" s="5" t="str">
        <f t="array" ref="G341">XLOOKUP(E341, Products!A:A, Products!C:C)</f>
        <v>Furniture</v>
      </c>
      <c r="H341" s="5">
        <f>RawData!E341</f>
        <v>7</v>
      </c>
      <c r="I341" s="5">
        <f>RawData!F341</f>
        <v>161.81</v>
      </c>
      <c r="J341" s="5">
        <f>RawData!G341</f>
        <v>1132.67</v>
      </c>
      <c r="K341" s="5" t="str">
        <f>RawData!H341</f>
        <v>South</v>
      </c>
      <c r="L341" s="5" t="str">
        <f t="shared" si="1"/>
        <v>Jul</v>
      </c>
    </row>
    <row r="342">
      <c r="A342" s="5" t="str">
        <f>RawData!A342</f>
        <v>ORD-5341</v>
      </c>
      <c r="B342" s="8">
        <f>RawData!B342</f>
        <v>44588</v>
      </c>
      <c r="C342" s="5" t="str">
        <f>RawData!C342</f>
        <v>C2272</v>
      </c>
      <c r="D342" s="5" t="str">
        <f>VLOOKUP(C342, Customers!A:B,2,FALSE)</f>
        <v/>
      </c>
      <c r="E342" s="5" t="str">
        <f>RawData!D342</f>
        <v>P1042</v>
      </c>
      <c r="G342" s="5" t="str">
        <f t="array" ref="G342">XLOOKUP(E342, Products!A:A, Products!C:C)</f>
        <v>Electronics</v>
      </c>
      <c r="H342" s="5">
        <f>RawData!E342</f>
        <v>1</v>
      </c>
      <c r="I342" s="5">
        <f>RawData!F342</f>
        <v>90.5</v>
      </c>
      <c r="J342" s="5">
        <f>RawData!G342</f>
        <v>90.5</v>
      </c>
      <c r="K342" s="5" t="str">
        <f>RawData!H342</f>
        <v>North</v>
      </c>
      <c r="L342" s="5" t="str">
        <f t="shared" si="1"/>
        <v>Jan</v>
      </c>
    </row>
    <row r="343">
      <c r="A343" s="5" t="str">
        <f>RawData!A343</f>
        <v>ORD-5342</v>
      </c>
      <c r="B343" s="8">
        <f>RawData!B343</f>
        <v>45159</v>
      </c>
      <c r="C343" s="5" t="str">
        <f>RawData!C343</f>
        <v>C2183</v>
      </c>
      <c r="D343" s="5" t="str">
        <f>VLOOKUP(C343, Customers!A:B,2,FALSE)</f>
        <v/>
      </c>
      <c r="E343" s="5" t="str">
        <f>RawData!D343</f>
        <v>P1002</v>
      </c>
      <c r="G343" s="5" t="str">
        <f t="array" ref="G343">XLOOKUP(E343, Products!A:A, Products!C:C)</f>
        <v>Furniture</v>
      </c>
      <c r="H343" s="5">
        <f>RawData!E343</f>
        <v>5</v>
      </c>
      <c r="I343" s="5">
        <f>RawData!F343</f>
        <v>109.31</v>
      </c>
      <c r="J343" s="5">
        <f>RawData!G343</f>
        <v>546.55</v>
      </c>
      <c r="K343" s="5" t="str">
        <f>RawData!H343</f>
        <v>South</v>
      </c>
      <c r="L343" s="5" t="str">
        <f t="shared" si="1"/>
        <v>Aug</v>
      </c>
    </row>
    <row r="344">
      <c r="A344" s="5" t="str">
        <f>RawData!A344</f>
        <v>ORD-5343</v>
      </c>
      <c r="B344" s="8">
        <f>RawData!B344</f>
        <v>44987</v>
      </c>
      <c r="C344" s="5" t="str">
        <f>RawData!C344</f>
        <v>C2033</v>
      </c>
      <c r="D344" s="5" t="str">
        <f>VLOOKUP(C344, Customers!A:B,2,FALSE)</f>
        <v>Noah Bennett</v>
      </c>
      <c r="E344" s="5" t="str">
        <f>RawData!D344</f>
        <v>P1037</v>
      </c>
      <c r="G344" s="5" t="str">
        <f t="array" ref="G344">XLOOKUP(E344, Products!A:A, Products!C:C)</f>
        <v>Electronics</v>
      </c>
      <c r="H344" s="5">
        <f>RawData!E344</f>
        <v>2</v>
      </c>
      <c r="I344" s="5">
        <f>RawData!F344</f>
        <v>115.76</v>
      </c>
      <c r="J344" s="5">
        <f>RawData!G344</f>
        <v>231.52</v>
      </c>
      <c r="K344" s="5" t="str">
        <f>RawData!H344</f>
        <v>West</v>
      </c>
      <c r="L344" s="5" t="str">
        <f t="shared" si="1"/>
        <v>Mar</v>
      </c>
    </row>
    <row r="345">
      <c r="A345" s="5" t="str">
        <f>RawData!A345</f>
        <v>ORD-5344</v>
      </c>
      <c r="B345" s="8">
        <f>RawData!B345</f>
        <v>45830</v>
      </c>
      <c r="C345" s="5" t="str">
        <f>RawData!C345</f>
        <v>C2257</v>
      </c>
      <c r="D345" s="5" t="str">
        <f>VLOOKUP(C345, Customers!A:B,2,FALSE)</f>
        <v/>
      </c>
      <c r="E345" s="5" t="str">
        <f>RawData!D345</f>
        <v>P1014</v>
      </c>
      <c r="G345" s="5" t="str">
        <f t="array" ref="G345">XLOOKUP(E345, Products!A:A, Products!C:C)</f>
        <v>Electronics</v>
      </c>
      <c r="H345" s="5">
        <f>RawData!E345</f>
        <v>7</v>
      </c>
      <c r="I345" s="5">
        <f>RawData!F345</f>
        <v>54.76</v>
      </c>
      <c r="J345" s="5">
        <f>RawData!G345</f>
        <v>383.32</v>
      </c>
      <c r="K345" s="5" t="str">
        <f>RawData!H345</f>
        <v>West</v>
      </c>
      <c r="L345" s="5" t="str">
        <f t="shared" si="1"/>
        <v>Jun</v>
      </c>
    </row>
    <row r="346">
      <c r="A346" s="5" t="str">
        <f>RawData!A346</f>
        <v>ORD-5345</v>
      </c>
      <c r="B346" s="8">
        <f>RawData!B346</f>
        <v>45241</v>
      </c>
      <c r="C346" s="5" t="str">
        <f>RawData!C346</f>
        <v>C2096</v>
      </c>
      <c r="D346" s="5" t="str">
        <f>VLOOKUP(C346, Customers!A:B,2,FALSE)</f>
        <v/>
      </c>
      <c r="E346" s="5" t="str">
        <f>RawData!D346</f>
        <v>P1030</v>
      </c>
      <c r="G346" s="5" t="str">
        <f t="array" ref="G346">XLOOKUP(E346, Products!A:A, Products!C:C)</f>
        <v>Electronics</v>
      </c>
      <c r="H346" s="5">
        <f>RawData!E346</f>
        <v>5</v>
      </c>
      <c r="I346" s="5">
        <f>RawData!F346</f>
        <v>100.65</v>
      </c>
      <c r="J346" s="5">
        <f>RawData!G346</f>
        <v>503.25</v>
      </c>
      <c r="K346" s="5" t="str">
        <f>RawData!H346</f>
        <v>West</v>
      </c>
      <c r="L346" s="5" t="str">
        <f t="shared" si="1"/>
        <v>Nov</v>
      </c>
    </row>
    <row r="347">
      <c r="A347" s="5" t="str">
        <f>RawData!A347</f>
        <v>ORD-5346</v>
      </c>
      <c r="B347" s="8">
        <f>RawData!B347</f>
        <v>46014</v>
      </c>
      <c r="C347" s="5" t="str">
        <f>RawData!C347</f>
        <v>C2072</v>
      </c>
      <c r="D347" s="5" t="str">
        <f>VLOOKUP(C347, Customers!A:B,2,FALSE)</f>
        <v/>
      </c>
      <c r="E347" s="5" t="str">
        <f>RawData!D347</f>
        <v>P1006</v>
      </c>
      <c r="G347" s="5" t="str">
        <f t="array" ref="G347">XLOOKUP(E347, Products!A:A, Products!C:C)</f>
        <v>Electronics</v>
      </c>
      <c r="H347" s="5">
        <f>RawData!E347</f>
        <v>8</v>
      </c>
      <c r="I347" s="5">
        <f>RawData!F347</f>
        <v>143.58</v>
      </c>
      <c r="J347" s="5">
        <f>RawData!G347</f>
        <v>1148.64</v>
      </c>
      <c r="K347" s="5" t="str">
        <f>RawData!H347</f>
        <v>West</v>
      </c>
      <c r="L347" s="5" t="str">
        <f t="shared" si="1"/>
        <v>Dec</v>
      </c>
    </row>
    <row r="348">
      <c r="A348" s="5" t="str">
        <f>RawData!A348</f>
        <v>ORD-5347</v>
      </c>
      <c r="B348" s="8">
        <f>RawData!B348</f>
        <v>44789</v>
      </c>
      <c r="C348" s="5" t="str">
        <f>RawData!C348</f>
        <v>C2293</v>
      </c>
      <c r="D348" s="5" t="str">
        <f>VLOOKUP(C348, Customers!A:B,2,FALSE)</f>
        <v/>
      </c>
      <c r="E348" s="5" t="str">
        <f>RawData!D348</f>
        <v>P1050</v>
      </c>
      <c r="G348" s="5" t="str">
        <f t="array" ref="G348">XLOOKUP(E348, Products!A:A, Products!C:C)</f>
        <v>Electronics</v>
      </c>
      <c r="H348" s="5">
        <f>RawData!E348</f>
        <v>8</v>
      </c>
      <c r="I348" s="5">
        <f>RawData!F348</f>
        <v>161.48</v>
      </c>
      <c r="J348" s="5">
        <f>RawData!G348</f>
        <v>1291.84</v>
      </c>
      <c r="K348" s="5" t="str">
        <f>RawData!H348</f>
        <v>South</v>
      </c>
      <c r="L348" s="5" t="str">
        <f t="shared" si="1"/>
        <v>Aug</v>
      </c>
    </row>
    <row r="349">
      <c r="A349" s="5" t="str">
        <f>RawData!A349</f>
        <v>ORD-5348</v>
      </c>
      <c r="B349" s="8">
        <f>RawData!B349</f>
        <v>44622</v>
      </c>
      <c r="C349" s="5" t="str">
        <f>RawData!C349</f>
        <v>C2305</v>
      </c>
      <c r="D349" s="5" t="str">
        <f>VLOOKUP(C349, Customers!A:B,2,FALSE)</f>
        <v/>
      </c>
      <c r="E349" s="5" t="str">
        <f>RawData!D349</f>
        <v>P1035</v>
      </c>
      <c r="G349" s="5" t="str">
        <f t="array" ref="G349">XLOOKUP(E349, Products!A:A, Products!C:C)</f>
        <v>Home</v>
      </c>
      <c r="H349" s="5">
        <f>RawData!E349</f>
        <v>10</v>
      </c>
      <c r="I349" s="5">
        <f>RawData!F349</f>
        <v>35.91</v>
      </c>
      <c r="J349" s="5">
        <f>RawData!G349</f>
        <v>359.1</v>
      </c>
      <c r="K349" s="5" t="str">
        <f>RawData!H349</f>
        <v>East</v>
      </c>
      <c r="L349" s="5" t="str">
        <f t="shared" si="1"/>
        <v>Mar</v>
      </c>
    </row>
    <row r="350">
      <c r="A350" s="5" t="str">
        <f>RawData!A350</f>
        <v>ORD-5349</v>
      </c>
      <c r="B350" s="8">
        <f>RawData!B350</f>
        <v>45290</v>
      </c>
      <c r="C350" s="5" t="str">
        <f>RawData!C350</f>
        <v>C2358</v>
      </c>
      <c r="D350" s="5" t="str">
        <f>VLOOKUP(C350, Customers!A:B,2,FALSE)</f>
        <v/>
      </c>
      <c r="E350" s="5" t="str">
        <f>RawData!D350</f>
        <v>P1013</v>
      </c>
      <c r="G350" s="5" t="str">
        <f t="array" ref="G350">XLOOKUP(E350, Products!A:A, Products!C:C)</f>
        <v>Furniture</v>
      </c>
      <c r="H350" s="5">
        <f>RawData!E350</f>
        <v>4</v>
      </c>
      <c r="I350" s="5">
        <f>RawData!F350</f>
        <v>59.18</v>
      </c>
      <c r="J350" s="5">
        <f>RawData!G350</f>
        <v>236.72</v>
      </c>
      <c r="K350" s="5" t="str">
        <f>RawData!H350</f>
        <v>East</v>
      </c>
      <c r="L350" s="5" t="str">
        <f t="shared" si="1"/>
        <v>Dec</v>
      </c>
    </row>
    <row r="351">
      <c r="A351" s="5" t="str">
        <f>RawData!A351</f>
        <v>ORD-5350</v>
      </c>
      <c r="B351" s="8">
        <f>RawData!B351</f>
        <v>45192</v>
      </c>
      <c r="C351" s="5" t="str">
        <f>RawData!C351</f>
        <v>C2273</v>
      </c>
      <c r="D351" s="5" t="str">
        <f>VLOOKUP(C351, Customers!A:B,2,FALSE)</f>
        <v/>
      </c>
      <c r="E351" s="5" t="str">
        <f>RawData!D351</f>
        <v>P1022</v>
      </c>
      <c r="G351" s="5" t="str">
        <f t="array" ref="G351">XLOOKUP(E351, Products!A:A, Products!C:C)</f>
        <v>Accessories</v>
      </c>
      <c r="H351" s="5">
        <f>RawData!E351</f>
        <v>10</v>
      </c>
      <c r="I351" s="5">
        <f>RawData!F351</f>
        <v>164.53</v>
      </c>
      <c r="J351" s="5">
        <f>RawData!G351</f>
        <v>1645.3</v>
      </c>
      <c r="K351" s="5" t="str">
        <f>RawData!H351</f>
        <v>West</v>
      </c>
      <c r="L351" s="5" t="str">
        <f t="shared" si="1"/>
        <v>Sep</v>
      </c>
    </row>
    <row r="352">
      <c r="A352" s="5" t="str">
        <f>RawData!A352</f>
        <v>ORD-5351</v>
      </c>
      <c r="B352" s="8">
        <f>RawData!B352</f>
        <v>45177</v>
      </c>
      <c r="C352" s="5" t="str">
        <f>RawData!C352</f>
        <v>C2367</v>
      </c>
      <c r="D352" s="5" t="str">
        <f>VLOOKUP(C352, Customers!A:B,2,FALSE)</f>
        <v/>
      </c>
      <c r="E352" s="5" t="str">
        <f>RawData!D352</f>
        <v>P1037</v>
      </c>
      <c r="G352" s="5" t="str">
        <f t="array" ref="G352">XLOOKUP(E352, Products!A:A, Products!C:C)</f>
        <v>Electronics</v>
      </c>
      <c r="H352" s="5">
        <f>RawData!E352</f>
        <v>4</v>
      </c>
      <c r="I352" s="5">
        <f>RawData!F352</f>
        <v>115.76</v>
      </c>
      <c r="J352" s="5">
        <f>RawData!G352</f>
        <v>463.04</v>
      </c>
      <c r="K352" s="5" t="str">
        <f>RawData!H352</f>
        <v>West</v>
      </c>
      <c r="L352" s="5" t="str">
        <f t="shared" si="1"/>
        <v>Sep</v>
      </c>
    </row>
    <row r="353">
      <c r="A353" s="5" t="str">
        <f>RawData!A353</f>
        <v>ORD-5352</v>
      </c>
      <c r="B353" s="8">
        <f>RawData!B353</f>
        <v>45124</v>
      </c>
      <c r="C353" s="5" t="str">
        <f>RawData!C353</f>
        <v>C2214</v>
      </c>
      <c r="D353" s="5" t="str">
        <f>VLOOKUP(C353, Customers!A:B,2,FALSE)</f>
        <v/>
      </c>
      <c r="E353" s="5" t="str">
        <f>RawData!D353</f>
        <v>P1037</v>
      </c>
      <c r="G353" s="5" t="str">
        <f t="array" ref="G353">XLOOKUP(E353, Products!A:A, Products!C:C)</f>
        <v>Electronics</v>
      </c>
      <c r="H353" s="5">
        <f>RawData!E353</f>
        <v>5</v>
      </c>
      <c r="I353" s="5">
        <f>RawData!F353</f>
        <v>115.76</v>
      </c>
      <c r="J353" s="5">
        <f>RawData!G353</f>
        <v>578.8</v>
      </c>
      <c r="K353" s="5" t="str">
        <f>RawData!H353</f>
        <v>North</v>
      </c>
      <c r="L353" s="5" t="str">
        <f t="shared" si="1"/>
        <v>Jul</v>
      </c>
    </row>
    <row r="354">
      <c r="A354" s="5" t="str">
        <f>RawData!A354</f>
        <v>ORD-5353</v>
      </c>
      <c r="B354" s="8">
        <f>RawData!B354</f>
        <v>44778</v>
      </c>
      <c r="C354" s="5" t="str">
        <f>RawData!C354</f>
        <v>C2019</v>
      </c>
      <c r="D354" s="5" t="str">
        <f>VLOOKUP(C354, Customers!A:B,2,FALSE)</f>
        <v/>
      </c>
      <c r="E354" s="5" t="str">
        <f>RawData!D354</f>
        <v>P1029</v>
      </c>
      <c r="G354" s="5" t="str">
        <f t="array" ref="G354">XLOOKUP(E354, Products!A:A, Products!C:C)</f>
        <v>Furniture</v>
      </c>
      <c r="H354" s="5">
        <f>RawData!E354</f>
        <v>4</v>
      </c>
      <c r="I354" s="5">
        <f>RawData!F354</f>
        <v>104.81</v>
      </c>
      <c r="J354" s="5">
        <f>RawData!G354</f>
        <v>419.24</v>
      </c>
      <c r="K354" s="5" t="str">
        <f>RawData!H354</f>
        <v>West</v>
      </c>
      <c r="L354" s="5" t="str">
        <f t="shared" si="1"/>
        <v>Aug</v>
      </c>
    </row>
    <row r="355">
      <c r="A355" s="5" t="str">
        <f>RawData!A355</f>
        <v>ORD-5354</v>
      </c>
      <c r="B355" s="8">
        <f>RawData!B355</f>
        <v>44928</v>
      </c>
      <c r="C355" s="5" t="str">
        <f>RawData!C355</f>
        <v>C2027</v>
      </c>
      <c r="D355" s="5" t="str">
        <f>VLOOKUP(C355, Customers!A:B,2,FALSE)</f>
        <v/>
      </c>
      <c r="E355" s="5" t="str">
        <f>RawData!D355</f>
        <v>P1042</v>
      </c>
      <c r="G355" s="5" t="str">
        <f t="array" ref="G355">XLOOKUP(E355, Products!A:A, Products!C:C)</f>
        <v>Electronics</v>
      </c>
      <c r="H355" s="5">
        <f>RawData!E355</f>
        <v>4</v>
      </c>
      <c r="I355" s="5">
        <f>RawData!F355</f>
        <v>90.5</v>
      </c>
      <c r="J355" s="5">
        <f>RawData!G355</f>
        <v>362</v>
      </c>
      <c r="K355" s="5" t="str">
        <f>RawData!H355</f>
        <v>East</v>
      </c>
      <c r="L355" s="5" t="str">
        <f t="shared" si="1"/>
        <v>Jan</v>
      </c>
    </row>
    <row r="356">
      <c r="A356" s="5" t="str">
        <f>RawData!A356</f>
        <v>ORD-5355</v>
      </c>
      <c r="B356" s="8">
        <f>RawData!B356</f>
        <v>45687</v>
      </c>
      <c r="C356" s="5" t="str">
        <f>RawData!C356</f>
        <v>C2088</v>
      </c>
      <c r="D356" s="5" t="str">
        <f>VLOOKUP(C356, Customers!A:B,2,FALSE)</f>
        <v/>
      </c>
      <c r="E356" s="5" t="str">
        <f>RawData!D356</f>
        <v>P1023</v>
      </c>
      <c r="G356" s="5" t="str">
        <f t="array" ref="G356">XLOOKUP(E356, Products!A:A, Products!C:C)</f>
        <v>Fashion</v>
      </c>
      <c r="H356" s="5">
        <f>RawData!E356</f>
        <v>8</v>
      </c>
      <c r="I356" s="5">
        <f>RawData!F356</f>
        <v>70.71</v>
      </c>
      <c r="J356" s="5">
        <f>RawData!G356</f>
        <v>565.68</v>
      </c>
      <c r="K356" s="5" t="str">
        <f>RawData!H356</f>
        <v>West</v>
      </c>
      <c r="L356" s="5" t="str">
        <f t="shared" si="1"/>
        <v>Jan</v>
      </c>
    </row>
    <row r="357">
      <c r="A357" s="5" t="str">
        <f>RawData!A357</f>
        <v>ORD-5356</v>
      </c>
      <c r="B357" s="8">
        <f>RawData!B357</f>
        <v>44902</v>
      </c>
      <c r="C357" s="5" t="str">
        <f>RawData!C357</f>
        <v>C2061</v>
      </c>
      <c r="D357" s="5" t="str">
        <f>VLOOKUP(C357, Customers!A:B,2,FALSE)</f>
        <v/>
      </c>
      <c r="E357" s="5" t="str">
        <f>RawData!D357</f>
        <v>P1017</v>
      </c>
      <c r="G357" s="5" t="str">
        <f t="array" ref="G357">XLOOKUP(E357, Products!A:A, Products!C:C)</f>
        <v>Furniture</v>
      </c>
      <c r="H357" s="5">
        <f>RawData!E357</f>
        <v>9</v>
      </c>
      <c r="I357" s="5">
        <f>RawData!F357</f>
        <v>43.15</v>
      </c>
      <c r="J357" s="5">
        <f>RawData!G357</f>
        <v>388.35</v>
      </c>
      <c r="K357" s="5" t="str">
        <f>RawData!H357</f>
        <v>South</v>
      </c>
      <c r="L357" s="5" t="str">
        <f t="shared" si="1"/>
        <v>Dec</v>
      </c>
    </row>
    <row r="358">
      <c r="A358" s="5" t="str">
        <f>RawData!A358</f>
        <v>ORD-5357</v>
      </c>
      <c r="B358" s="8">
        <f>RawData!B358</f>
        <v>45758</v>
      </c>
      <c r="C358" s="5" t="str">
        <f>RawData!C358</f>
        <v>C2350</v>
      </c>
      <c r="D358" s="5" t="str">
        <f>VLOOKUP(C358, Customers!A:B,2,FALSE)</f>
        <v/>
      </c>
      <c r="E358" s="5" t="str">
        <f>RawData!D358</f>
        <v>P1027</v>
      </c>
      <c r="G358" s="5" t="str">
        <f t="array" ref="G358">XLOOKUP(E358, Products!A:A, Products!C:C)</f>
        <v>Fashion</v>
      </c>
      <c r="H358" s="5">
        <f>RawData!E358</f>
        <v>9</v>
      </c>
      <c r="I358" s="5">
        <f>RawData!F358</f>
        <v>152.99</v>
      </c>
      <c r="J358" s="5">
        <f>RawData!G358</f>
        <v>1376.91</v>
      </c>
      <c r="K358" s="5" t="str">
        <f>RawData!H358</f>
        <v>West</v>
      </c>
      <c r="L358" s="5" t="str">
        <f t="shared" si="1"/>
        <v>Apr</v>
      </c>
    </row>
    <row r="359">
      <c r="A359" s="5" t="str">
        <f>RawData!A359</f>
        <v>ORD-5358</v>
      </c>
      <c r="B359" s="8">
        <f>RawData!B359</f>
        <v>45413</v>
      </c>
      <c r="C359" s="5" t="str">
        <f>RawData!C359</f>
        <v>C2448</v>
      </c>
      <c r="D359" s="5" t="str">
        <f>VLOOKUP(C359, Customers!A:B,2,FALSE)</f>
        <v/>
      </c>
      <c r="E359" s="5" t="str">
        <f>RawData!D359</f>
        <v>P1022</v>
      </c>
      <c r="G359" s="5" t="str">
        <f t="array" ref="G359">XLOOKUP(E359, Products!A:A, Products!C:C)</f>
        <v>Accessories</v>
      </c>
      <c r="H359" s="5">
        <f>RawData!E359</f>
        <v>3</v>
      </c>
      <c r="I359" s="5">
        <f>RawData!F359</f>
        <v>164.53</v>
      </c>
      <c r="J359" s="5">
        <f>RawData!G359</f>
        <v>493.59</v>
      </c>
      <c r="K359" s="5" t="str">
        <f>RawData!H359</f>
        <v>West</v>
      </c>
      <c r="L359" s="5" t="str">
        <f t="shared" si="1"/>
        <v>May</v>
      </c>
    </row>
    <row r="360">
      <c r="A360" s="5" t="str">
        <f>RawData!A360</f>
        <v>ORD-5359</v>
      </c>
      <c r="B360" s="8">
        <f>RawData!B360</f>
        <v>45420</v>
      </c>
      <c r="C360" s="5" t="str">
        <f>RawData!C360</f>
        <v>C2369</v>
      </c>
      <c r="D360" s="5" t="str">
        <f>VLOOKUP(C360, Customers!A:B,2,FALSE)</f>
        <v/>
      </c>
      <c r="E360" s="5" t="str">
        <f>RawData!D360</f>
        <v>P1032</v>
      </c>
      <c r="G360" s="5" t="str">
        <f t="array" ref="G360">XLOOKUP(E360, Products!A:A, Products!C:C)</f>
        <v>Fashion</v>
      </c>
      <c r="H360" s="5">
        <f>RawData!E360</f>
        <v>10</v>
      </c>
      <c r="I360" s="5">
        <f>RawData!F360</f>
        <v>52.33</v>
      </c>
      <c r="J360" s="5">
        <f>RawData!G360</f>
        <v>523.3</v>
      </c>
      <c r="K360" s="5" t="str">
        <f>RawData!H360</f>
        <v>North</v>
      </c>
      <c r="L360" s="5" t="str">
        <f t="shared" si="1"/>
        <v>May</v>
      </c>
    </row>
    <row r="361">
      <c r="A361" s="5" t="str">
        <f>RawData!A361</f>
        <v>ORD-5360</v>
      </c>
      <c r="B361" s="8">
        <f>RawData!B361</f>
        <v>45220</v>
      </c>
      <c r="C361" s="5" t="str">
        <f>RawData!C361</f>
        <v>C2401</v>
      </c>
      <c r="D361" s="5" t="str">
        <f>VLOOKUP(C361, Customers!A:B,2,FALSE)</f>
        <v/>
      </c>
      <c r="E361" s="5" t="str">
        <f>RawData!D361</f>
        <v>P1038</v>
      </c>
      <c r="G361" s="5" t="str">
        <f t="array" ref="G361">XLOOKUP(E361, Products!A:A, Products!C:C)</f>
        <v>Accessories</v>
      </c>
      <c r="H361" s="5">
        <f>RawData!E361</f>
        <v>9</v>
      </c>
      <c r="I361" s="5">
        <f>RawData!F361</f>
        <v>73.93</v>
      </c>
      <c r="J361" s="5">
        <f>RawData!G361</f>
        <v>665.37</v>
      </c>
      <c r="K361" s="5" t="str">
        <f>RawData!H361</f>
        <v>East</v>
      </c>
      <c r="L361" s="5" t="str">
        <f t="shared" si="1"/>
        <v>Oct</v>
      </c>
    </row>
    <row r="362">
      <c r="A362" s="5" t="str">
        <f>RawData!A362</f>
        <v>ORD-5361</v>
      </c>
      <c r="B362" s="8">
        <f>RawData!B362</f>
        <v>45799</v>
      </c>
      <c r="C362" s="5" t="str">
        <f>RawData!C362</f>
        <v>C2325</v>
      </c>
      <c r="D362" s="5" t="str">
        <f>VLOOKUP(C362, Customers!A:B,2,FALSE)</f>
        <v/>
      </c>
      <c r="E362" s="5" t="str">
        <f>RawData!D362</f>
        <v>P1032</v>
      </c>
      <c r="G362" s="5" t="str">
        <f t="array" ref="G362">XLOOKUP(E362, Products!A:A, Products!C:C)</f>
        <v>Fashion</v>
      </c>
      <c r="H362" s="5">
        <f>RawData!E362</f>
        <v>5</v>
      </c>
      <c r="I362" s="5">
        <f>RawData!F362</f>
        <v>52.33</v>
      </c>
      <c r="J362" s="5">
        <f>RawData!G362</f>
        <v>261.65</v>
      </c>
      <c r="K362" s="5" t="str">
        <f>RawData!H362</f>
        <v>East</v>
      </c>
      <c r="L362" s="5" t="str">
        <f t="shared" si="1"/>
        <v>May</v>
      </c>
    </row>
    <row r="363">
      <c r="A363" s="5" t="str">
        <f>RawData!A363</f>
        <v>ORD-5362</v>
      </c>
      <c r="B363" s="8">
        <f>RawData!B363</f>
        <v>44774</v>
      </c>
      <c r="C363" s="5" t="str">
        <f>RawData!C363</f>
        <v>C2449</v>
      </c>
      <c r="D363" s="5" t="str">
        <f>VLOOKUP(C363, Customers!A:B,2,FALSE)</f>
        <v/>
      </c>
      <c r="E363" s="5" t="str">
        <f>RawData!D363</f>
        <v>P1001</v>
      </c>
      <c r="G363" s="5" t="str">
        <f t="array" ref="G363">XLOOKUP(E363, Products!A:A, Products!C:C)</f>
        <v>Electronics</v>
      </c>
      <c r="H363" s="5">
        <f>RawData!E363</f>
        <v>7</v>
      </c>
      <c r="I363" s="5">
        <f>RawData!F363</f>
        <v>144.69</v>
      </c>
      <c r="J363" s="5">
        <f>RawData!G363</f>
        <v>1012.83</v>
      </c>
      <c r="K363" s="5" t="str">
        <f>RawData!H363</f>
        <v>North</v>
      </c>
      <c r="L363" s="5" t="str">
        <f t="shared" si="1"/>
        <v>Aug</v>
      </c>
    </row>
    <row r="364">
      <c r="A364" s="5" t="str">
        <f>RawData!A364</f>
        <v>ORD-5363</v>
      </c>
      <c r="B364" s="8">
        <f>RawData!B364</f>
        <v>45843</v>
      </c>
      <c r="C364" s="5" t="str">
        <f>RawData!C364</f>
        <v>C2098</v>
      </c>
      <c r="D364" s="5" t="str">
        <f>VLOOKUP(C364, Customers!A:B,2,FALSE)</f>
        <v/>
      </c>
      <c r="E364" s="5" t="str">
        <f>RawData!D364</f>
        <v>P1012</v>
      </c>
      <c r="G364" s="5" t="str">
        <f t="array" ref="G364">XLOOKUP(E364, Products!A:A, Products!C:C)</f>
        <v>Electronics</v>
      </c>
      <c r="H364" s="5">
        <f>RawData!E364</f>
        <v>8</v>
      </c>
      <c r="I364" s="5">
        <f>RawData!F364</f>
        <v>143.99</v>
      </c>
      <c r="J364" s="5">
        <f>RawData!G364</f>
        <v>1151.92</v>
      </c>
      <c r="K364" s="5" t="str">
        <f>RawData!H364</f>
        <v>West</v>
      </c>
      <c r="L364" s="5" t="str">
        <f t="shared" si="1"/>
        <v>Jul</v>
      </c>
    </row>
    <row r="365">
      <c r="A365" s="5" t="str">
        <f>RawData!A365</f>
        <v>ORD-5364</v>
      </c>
      <c r="B365" s="8">
        <f>RawData!B365</f>
        <v>45368</v>
      </c>
      <c r="C365" s="5" t="str">
        <f>RawData!C365</f>
        <v>C2185</v>
      </c>
      <c r="D365" s="5" t="str">
        <f>VLOOKUP(C365, Customers!A:B,2,FALSE)</f>
        <v/>
      </c>
      <c r="E365" s="5" t="str">
        <f>RawData!D365</f>
        <v>P1007</v>
      </c>
      <c r="G365" s="5" t="str">
        <f t="array" ref="G365">XLOOKUP(E365, Products!A:A, Products!C:C)</f>
        <v>Accessories</v>
      </c>
      <c r="H365" s="5">
        <f>RawData!E365</f>
        <v>8</v>
      </c>
      <c r="I365" s="5">
        <f>RawData!F365</f>
        <v>37.05</v>
      </c>
      <c r="J365" s="5">
        <f>RawData!G365</f>
        <v>296.4</v>
      </c>
      <c r="K365" s="5" t="str">
        <f>RawData!H365</f>
        <v>North</v>
      </c>
      <c r="L365" s="5" t="str">
        <f t="shared" si="1"/>
        <v>Mar</v>
      </c>
    </row>
    <row r="366">
      <c r="A366" s="5" t="str">
        <f>RawData!A366</f>
        <v>ORD-5365</v>
      </c>
      <c r="B366" s="8">
        <f>RawData!B366</f>
        <v>45768</v>
      </c>
      <c r="C366" s="5" t="str">
        <f>RawData!C366</f>
        <v>C2323</v>
      </c>
      <c r="D366" s="5" t="str">
        <f>VLOOKUP(C366, Customers!A:B,2,FALSE)</f>
        <v/>
      </c>
      <c r="E366" s="5" t="str">
        <f>RawData!D366</f>
        <v>P1004</v>
      </c>
      <c r="G366" s="5" t="str">
        <f t="array" ref="G366">XLOOKUP(E366, Products!A:A, Products!C:C)</f>
        <v>Home</v>
      </c>
      <c r="H366" s="5">
        <f>RawData!E366</f>
        <v>2</v>
      </c>
      <c r="I366" s="5">
        <f>RawData!F366</f>
        <v>89.45</v>
      </c>
      <c r="J366" s="5">
        <f>RawData!G366</f>
        <v>178.9</v>
      </c>
      <c r="K366" s="5" t="str">
        <f>RawData!H366</f>
        <v>South</v>
      </c>
      <c r="L366" s="5" t="str">
        <f t="shared" si="1"/>
        <v>Apr</v>
      </c>
    </row>
    <row r="367">
      <c r="A367" s="5" t="str">
        <f>RawData!A367</f>
        <v>ORD-5366</v>
      </c>
      <c r="B367" s="8">
        <f>RawData!B367</f>
        <v>45073</v>
      </c>
      <c r="C367" s="5" t="str">
        <f>RawData!C367</f>
        <v>C2481</v>
      </c>
      <c r="D367" s="5" t="str">
        <f>VLOOKUP(C367, Customers!A:B,2,FALSE)</f>
        <v/>
      </c>
      <c r="E367" s="5" t="str">
        <f>RawData!D367</f>
        <v>P1013</v>
      </c>
      <c r="G367" s="5" t="str">
        <f t="array" ref="G367">XLOOKUP(E367, Products!A:A, Products!C:C)</f>
        <v>Furniture</v>
      </c>
      <c r="H367" s="5">
        <f>RawData!E367</f>
        <v>8</v>
      </c>
      <c r="I367" s="5">
        <f>RawData!F367</f>
        <v>59.18</v>
      </c>
      <c r="J367" s="5">
        <f>RawData!G367</f>
        <v>473.44</v>
      </c>
      <c r="K367" s="5" t="str">
        <f>RawData!H367</f>
        <v>West</v>
      </c>
      <c r="L367" s="5" t="str">
        <f t="shared" si="1"/>
        <v>May</v>
      </c>
    </row>
    <row r="368">
      <c r="A368" s="5" t="str">
        <f>RawData!A368</f>
        <v>ORD-5367</v>
      </c>
      <c r="B368" s="8">
        <f>RawData!B368</f>
        <v>45255</v>
      </c>
      <c r="C368" s="5" t="str">
        <f>RawData!C368</f>
        <v>C2279</v>
      </c>
      <c r="D368" s="5" t="str">
        <f>VLOOKUP(C368, Customers!A:B,2,FALSE)</f>
        <v/>
      </c>
      <c r="E368" s="5" t="str">
        <f>RawData!D368</f>
        <v>P1044</v>
      </c>
      <c r="G368" s="5" t="str">
        <f t="array" ref="G368">XLOOKUP(E368, Products!A:A, Products!C:C)</f>
        <v>Fashion</v>
      </c>
      <c r="H368" s="5">
        <f>RawData!E368</f>
        <v>5</v>
      </c>
      <c r="I368" s="5">
        <f>RawData!F368</f>
        <v>138.68</v>
      </c>
      <c r="J368" s="5">
        <f>RawData!G368</f>
        <v>693.4</v>
      </c>
      <c r="K368" s="5" t="str">
        <f>RawData!H368</f>
        <v>South</v>
      </c>
      <c r="L368" s="5" t="str">
        <f t="shared" si="1"/>
        <v>Nov</v>
      </c>
    </row>
    <row r="369">
      <c r="A369" s="5" t="str">
        <f>RawData!A369</f>
        <v>ORD-5368</v>
      </c>
      <c r="B369" s="8">
        <f>RawData!B369</f>
        <v>45579</v>
      </c>
      <c r="C369" s="5" t="str">
        <f>RawData!C369</f>
        <v>C2138</v>
      </c>
      <c r="D369" s="5" t="str">
        <f>VLOOKUP(C369, Customers!A:B,2,FALSE)</f>
        <v/>
      </c>
      <c r="E369" s="5" t="str">
        <f>RawData!D369</f>
        <v>P1018</v>
      </c>
      <c r="G369" s="5" t="str">
        <f t="array" ref="G369">XLOOKUP(E369, Products!A:A, Products!C:C)</f>
        <v>Electronics</v>
      </c>
      <c r="H369" s="5">
        <f>RawData!E369</f>
        <v>3</v>
      </c>
      <c r="I369" s="5">
        <f>RawData!F369</f>
        <v>131.34</v>
      </c>
      <c r="J369" s="5">
        <f>RawData!G369</f>
        <v>394.02</v>
      </c>
      <c r="K369" s="5" t="str">
        <f>RawData!H369</f>
        <v>South</v>
      </c>
      <c r="L369" s="5" t="str">
        <f t="shared" si="1"/>
        <v>Oct</v>
      </c>
    </row>
    <row r="370">
      <c r="A370" s="5" t="str">
        <f>RawData!A370</f>
        <v>ORD-5369</v>
      </c>
      <c r="B370" s="8">
        <f>RawData!B370</f>
        <v>45078</v>
      </c>
      <c r="C370" s="5" t="str">
        <f>RawData!C370</f>
        <v>C2185</v>
      </c>
      <c r="D370" s="5" t="str">
        <f>VLOOKUP(C370, Customers!A:B,2,FALSE)</f>
        <v/>
      </c>
      <c r="E370" s="5" t="str">
        <f>RawData!D370</f>
        <v>P1040</v>
      </c>
      <c r="G370" s="5" t="str">
        <f t="array" ref="G370">XLOOKUP(E370, Products!A:A, Products!C:C)</f>
        <v>Furniture</v>
      </c>
      <c r="H370" s="5">
        <f>RawData!E370</f>
        <v>4</v>
      </c>
      <c r="I370" s="5">
        <f>RawData!F370</f>
        <v>161.81</v>
      </c>
      <c r="J370" s="5">
        <f>RawData!G370</f>
        <v>647.24</v>
      </c>
      <c r="K370" s="5" t="str">
        <f>RawData!H370</f>
        <v>South</v>
      </c>
      <c r="L370" s="5" t="str">
        <f t="shared" si="1"/>
        <v>Jun</v>
      </c>
    </row>
    <row r="371">
      <c r="A371" s="5" t="str">
        <f>RawData!A371</f>
        <v>ORD-5370</v>
      </c>
      <c r="B371" s="8">
        <f>RawData!B371</f>
        <v>45631</v>
      </c>
      <c r="C371" s="5" t="str">
        <f>RawData!C371</f>
        <v>C2077</v>
      </c>
      <c r="D371" s="5" t="str">
        <f>VLOOKUP(C371, Customers!A:B,2,FALSE)</f>
        <v/>
      </c>
      <c r="E371" s="5" t="str">
        <f>RawData!D371</f>
        <v>P1016</v>
      </c>
      <c r="G371" s="5" t="str">
        <f t="array" ref="G371">XLOOKUP(E371, Products!A:A, Products!C:C)</f>
        <v>Electronics</v>
      </c>
      <c r="H371" s="5">
        <f>RawData!E371</f>
        <v>10</v>
      </c>
      <c r="I371" s="5">
        <f>RawData!F371</f>
        <v>156.45</v>
      </c>
      <c r="J371" s="5">
        <f>RawData!G371</f>
        <v>1564.5</v>
      </c>
      <c r="K371" s="5" t="str">
        <f>RawData!H371</f>
        <v>East</v>
      </c>
      <c r="L371" s="5" t="str">
        <f t="shared" si="1"/>
        <v>Dec</v>
      </c>
    </row>
    <row r="372">
      <c r="A372" s="5" t="str">
        <f>RawData!A372</f>
        <v>ORD-5371</v>
      </c>
      <c r="B372" s="8">
        <f>RawData!B372</f>
        <v>44813</v>
      </c>
      <c r="C372" s="5" t="str">
        <f>RawData!C372</f>
        <v>C2042</v>
      </c>
      <c r="D372" s="5" t="str">
        <f>VLOOKUP(C372, Customers!A:B,2,FALSE)</f>
        <v/>
      </c>
      <c r="E372" s="5" t="str">
        <f>RawData!D372</f>
        <v>P1050</v>
      </c>
      <c r="G372" s="5" t="str">
        <f t="array" ref="G372">XLOOKUP(E372, Products!A:A, Products!C:C)</f>
        <v>Electronics</v>
      </c>
      <c r="H372" s="5">
        <f>RawData!E372</f>
        <v>4</v>
      </c>
      <c r="I372" s="5">
        <f>RawData!F372</f>
        <v>161.48</v>
      </c>
      <c r="J372" s="5">
        <f>RawData!G372</f>
        <v>645.92</v>
      </c>
      <c r="K372" s="5" t="str">
        <f>RawData!H372</f>
        <v>South</v>
      </c>
      <c r="L372" s="5" t="str">
        <f t="shared" si="1"/>
        <v>Sep</v>
      </c>
    </row>
    <row r="373">
      <c r="A373" s="5" t="str">
        <f>RawData!A373</f>
        <v>ORD-5372</v>
      </c>
      <c r="B373" s="8">
        <f>RawData!B373</f>
        <v>45437</v>
      </c>
      <c r="C373" s="5" t="str">
        <f>RawData!C373</f>
        <v>C2450</v>
      </c>
      <c r="D373" s="5" t="str">
        <f>VLOOKUP(C373, Customers!A:B,2,FALSE)</f>
        <v/>
      </c>
      <c r="E373" s="5" t="str">
        <f>RawData!D373</f>
        <v>P1036</v>
      </c>
      <c r="G373" s="5" t="str">
        <f t="array" ref="G373">XLOOKUP(E373, Products!A:A, Products!C:C)</f>
        <v>Fashion</v>
      </c>
      <c r="H373" s="5">
        <f>RawData!E373</f>
        <v>5</v>
      </c>
      <c r="I373" s="5">
        <f>RawData!F373</f>
        <v>146.68</v>
      </c>
      <c r="J373" s="5">
        <f>RawData!G373</f>
        <v>733.4</v>
      </c>
      <c r="K373" s="5" t="str">
        <f>RawData!H373</f>
        <v>South</v>
      </c>
      <c r="L373" s="5" t="str">
        <f t="shared" si="1"/>
        <v>May</v>
      </c>
    </row>
    <row r="374">
      <c r="A374" s="5" t="str">
        <f>RawData!A374</f>
        <v>ORD-5373</v>
      </c>
      <c r="B374" s="8">
        <f>RawData!B374</f>
        <v>44568</v>
      </c>
      <c r="C374" s="5" t="str">
        <f>RawData!C374</f>
        <v>C2132</v>
      </c>
      <c r="D374" s="5" t="str">
        <f>VLOOKUP(C374, Customers!A:B,2,FALSE)</f>
        <v/>
      </c>
      <c r="E374" s="5" t="str">
        <f>RawData!D374</f>
        <v>P1032</v>
      </c>
      <c r="G374" s="5" t="str">
        <f t="array" ref="G374">XLOOKUP(E374, Products!A:A, Products!C:C)</f>
        <v>Fashion</v>
      </c>
      <c r="H374" s="5">
        <f>RawData!E374</f>
        <v>1</v>
      </c>
      <c r="I374" s="5">
        <f>RawData!F374</f>
        <v>52.33</v>
      </c>
      <c r="J374" s="5">
        <f>RawData!G374</f>
        <v>52.33</v>
      </c>
      <c r="K374" s="5" t="str">
        <f>RawData!H374</f>
        <v>West</v>
      </c>
      <c r="L374" s="5" t="str">
        <f t="shared" si="1"/>
        <v>Jan</v>
      </c>
    </row>
    <row r="375">
      <c r="A375" s="5" t="str">
        <f>RawData!A375</f>
        <v>ORD-5374</v>
      </c>
      <c r="B375" s="8">
        <f>RawData!B375</f>
        <v>45352</v>
      </c>
      <c r="C375" s="5" t="str">
        <f>RawData!C375</f>
        <v>C2382</v>
      </c>
      <c r="D375" s="5" t="str">
        <f>VLOOKUP(C375, Customers!A:B,2,FALSE)</f>
        <v>Henry Morgan</v>
      </c>
      <c r="E375" s="5" t="str">
        <f>RawData!D375</f>
        <v>P1021</v>
      </c>
      <c r="G375" s="5" t="str">
        <f t="array" ref="G375">XLOOKUP(E375, Products!A:A, Products!C:C)</f>
        <v>Electronics</v>
      </c>
      <c r="H375" s="5">
        <f>RawData!E375</f>
        <v>10</v>
      </c>
      <c r="I375" s="5">
        <f>RawData!F375</f>
        <v>140.72</v>
      </c>
      <c r="J375" s="5">
        <f>RawData!G375</f>
        <v>1407.2</v>
      </c>
      <c r="K375" s="5" t="str">
        <f>RawData!H375</f>
        <v>North</v>
      </c>
      <c r="L375" s="5" t="str">
        <f t="shared" si="1"/>
        <v>Mar</v>
      </c>
    </row>
    <row r="376">
      <c r="A376" s="5" t="str">
        <f>RawData!A376</f>
        <v>ORD-5375</v>
      </c>
      <c r="B376" s="8">
        <f>RawData!B376</f>
        <v>45724</v>
      </c>
      <c r="C376" s="5" t="str">
        <f>RawData!C376</f>
        <v>C2155</v>
      </c>
      <c r="D376" s="5" t="str">
        <f>VLOOKUP(C376, Customers!A:B,2,FALSE)</f>
        <v/>
      </c>
      <c r="E376" s="5" t="str">
        <f>RawData!D376</f>
        <v>P1041</v>
      </c>
      <c r="G376" s="5" t="str">
        <f t="array" ref="G376">XLOOKUP(E376, Products!A:A, Products!C:C)</f>
        <v>Furniture</v>
      </c>
      <c r="H376" s="5">
        <f>RawData!E376</f>
        <v>9</v>
      </c>
      <c r="I376" s="5">
        <f>RawData!F376</f>
        <v>133.47</v>
      </c>
      <c r="J376" s="5">
        <f>RawData!G376</f>
        <v>1201.23</v>
      </c>
      <c r="K376" s="5" t="str">
        <f>RawData!H376</f>
        <v>East</v>
      </c>
      <c r="L376" s="5" t="str">
        <f t="shared" si="1"/>
        <v>Mar</v>
      </c>
    </row>
    <row r="377">
      <c r="A377" s="5" t="str">
        <f>RawData!A377</f>
        <v>ORD-5376</v>
      </c>
      <c r="B377" s="8">
        <f>RawData!B377</f>
        <v>44808</v>
      </c>
      <c r="C377" s="5" t="str">
        <f>RawData!C377</f>
        <v>C2023</v>
      </c>
      <c r="D377" s="5" t="str">
        <f>VLOOKUP(C377, Customers!A:B,2,FALSE)</f>
        <v/>
      </c>
      <c r="E377" s="5" t="str">
        <f>RawData!D377</f>
        <v>P1024</v>
      </c>
      <c r="G377" s="5" t="str">
        <f t="array" ref="G377">XLOOKUP(E377, Products!A:A, Products!C:C)</f>
        <v>Electronics</v>
      </c>
      <c r="H377" s="5">
        <f>RawData!E377</f>
        <v>7</v>
      </c>
      <c r="I377" s="5">
        <f>RawData!F377</f>
        <v>122.33</v>
      </c>
      <c r="J377" s="5">
        <f>RawData!G377</f>
        <v>856.31</v>
      </c>
      <c r="K377" s="5" t="str">
        <f>RawData!H377</f>
        <v>East</v>
      </c>
      <c r="L377" s="5" t="str">
        <f t="shared" si="1"/>
        <v>Sep</v>
      </c>
    </row>
    <row r="378">
      <c r="A378" s="5" t="str">
        <f>RawData!A378</f>
        <v>ORD-5377</v>
      </c>
      <c r="B378" s="8">
        <f>RawData!B378</f>
        <v>45475</v>
      </c>
      <c r="C378" s="5" t="str">
        <f>RawData!C378</f>
        <v>C2213</v>
      </c>
      <c r="D378" s="5" t="str">
        <f>VLOOKUP(C378, Customers!A:B,2,FALSE)</f>
        <v/>
      </c>
      <c r="E378" s="5" t="str">
        <f>RawData!D378</f>
        <v>P1017</v>
      </c>
      <c r="G378" s="5" t="str">
        <f t="array" ref="G378">XLOOKUP(E378, Products!A:A, Products!C:C)</f>
        <v>Furniture</v>
      </c>
      <c r="H378" s="5">
        <f>RawData!E378</f>
        <v>9</v>
      </c>
      <c r="I378" s="5">
        <f>RawData!F378</f>
        <v>43.15</v>
      </c>
      <c r="J378" s="5">
        <f>RawData!G378</f>
        <v>388.35</v>
      </c>
      <c r="K378" s="5" t="str">
        <f>RawData!H378</f>
        <v>South</v>
      </c>
      <c r="L378" s="5" t="str">
        <f t="shared" si="1"/>
        <v>Jul</v>
      </c>
    </row>
    <row r="379">
      <c r="A379" s="5" t="str">
        <f>RawData!A379</f>
        <v>ORD-5378</v>
      </c>
      <c r="B379" s="8">
        <f>RawData!B379</f>
        <v>44991</v>
      </c>
      <c r="C379" s="5" t="str">
        <f>RawData!C379</f>
        <v>C2091</v>
      </c>
      <c r="D379" s="5" t="str">
        <f>VLOOKUP(C379, Customers!A:B,2,FALSE)</f>
        <v/>
      </c>
      <c r="E379" s="5" t="str">
        <f>RawData!D379</f>
        <v>P1015</v>
      </c>
      <c r="G379" s="5" t="str">
        <f t="array" ref="G379">XLOOKUP(E379, Products!A:A, Products!C:C)</f>
        <v>Furniture</v>
      </c>
      <c r="H379" s="5">
        <f>RawData!E379</f>
        <v>8</v>
      </c>
      <c r="I379" s="5">
        <f>RawData!F379</f>
        <v>144.86</v>
      </c>
      <c r="J379" s="5">
        <f>RawData!G379</f>
        <v>1158.88</v>
      </c>
      <c r="K379" s="5" t="str">
        <f>RawData!H379</f>
        <v>West</v>
      </c>
      <c r="L379" s="5" t="str">
        <f t="shared" si="1"/>
        <v>Mar</v>
      </c>
    </row>
    <row r="380">
      <c r="A380" s="5" t="str">
        <f>RawData!A380</f>
        <v>ORD-5379</v>
      </c>
      <c r="B380" s="8">
        <f>RawData!B380</f>
        <v>45380</v>
      </c>
      <c r="C380" s="5" t="str">
        <f>RawData!C380</f>
        <v>C2395</v>
      </c>
      <c r="D380" s="5" t="str">
        <f>VLOOKUP(C380, Customers!A:B,2,FALSE)</f>
        <v/>
      </c>
      <c r="E380" s="5" t="str">
        <f>RawData!D380</f>
        <v>P1019</v>
      </c>
      <c r="G380" s="5" t="str">
        <f t="array" ref="G380">XLOOKUP(E380, Products!A:A, Products!C:C)</f>
        <v>Electronics</v>
      </c>
      <c r="H380" s="5">
        <f>RawData!E380</f>
        <v>3</v>
      </c>
      <c r="I380" s="5">
        <f>RawData!F380</f>
        <v>193.29</v>
      </c>
      <c r="J380" s="5">
        <f>RawData!G380</f>
        <v>579.87</v>
      </c>
      <c r="K380" s="5" t="str">
        <f>RawData!H380</f>
        <v>North</v>
      </c>
      <c r="L380" s="5" t="str">
        <f t="shared" si="1"/>
        <v>Mar</v>
      </c>
    </row>
    <row r="381">
      <c r="A381" s="5" t="str">
        <f>RawData!A381</f>
        <v>ORD-5380</v>
      </c>
      <c r="B381" s="8">
        <f>RawData!B381</f>
        <v>45830</v>
      </c>
      <c r="C381" s="5" t="str">
        <f>RawData!C381</f>
        <v>C2458</v>
      </c>
      <c r="D381" s="5" t="str">
        <f>VLOOKUP(C381, Customers!A:B,2,FALSE)</f>
        <v/>
      </c>
      <c r="E381" s="5" t="str">
        <f>RawData!D381</f>
        <v>P1045</v>
      </c>
      <c r="G381" s="5" t="str">
        <f t="array" ref="G381">XLOOKUP(E381, Products!A:A, Products!C:C)</f>
        <v>Accessories</v>
      </c>
      <c r="H381" s="5">
        <f>RawData!E381</f>
        <v>10</v>
      </c>
      <c r="I381" s="5">
        <f>RawData!F381</f>
        <v>159.7</v>
      </c>
      <c r="J381" s="5">
        <f>RawData!G381</f>
        <v>1597</v>
      </c>
      <c r="K381" s="5" t="str">
        <f>RawData!H381</f>
        <v>North</v>
      </c>
      <c r="L381" s="5" t="str">
        <f t="shared" si="1"/>
        <v>Jun</v>
      </c>
    </row>
    <row r="382">
      <c r="A382" s="5" t="str">
        <f>RawData!A382</f>
        <v>ORD-5381</v>
      </c>
      <c r="B382" s="8">
        <f>RawData!B382</f>
        <v>45257</v>
      </c>
      <c r="C382" s="5" t="str">
        <f>RawData!C382</f>
        <v>C2280</v>
      </c>
      <c r="D382" s="5" t="str">
        <f>VLOOKUP(C382, Customers!A:B,2,FALSE)</f>
        <v/>
      </c>
      <c r="E382" s="5" t="str">
        <f>RawData!D382</f>
        <v>P1044</v>
      </c>
      <c r="G382" s="5" t="str">
        <f t="array" ref="G382">XLOOKUP(E382, Products!A:A, Products!C:C)</f>
        <v>Fashion</v>
      </c>
      <c r="H382" s="5">
        <f>RawData!E382</f>
        <v>2</v>
      </c>
      <c r="I382" s="5">
        <f>RawData!F382</f>
        <v>138.68</v>
      </c>
      <c r="J382" s="5">
        <f>RawData!G382</f>
        <v>277.36</v>
      </c>
      <c r="K382" s="5" t="str">
        <f>RawData!H382</f>
        <v>West</v>
      </c>
      <c r="L382" s="5" t="str">
        <f t="shared" si="1"/>
        <v>Nov</v>
      </c>
    </row>
    <row r="383">
      <c r="A383" s="5" t="str">
        <f>RawData!A383</f>
        <v>ORD-5382</v>
      </c>
      <c r="B383" s="8">
        <f>RawData!B383</f>
        <v>45179</v>
      </c>
      <c r="C383" s="5" t="str">
        <f>RawData!C383</f>
        <v>C2186</v>
      </c>
      <c r="D383" s="5" t="str">
        <f>VLOOKUP(C383, Customers!A:B,2,FALSE)</f>
        <v/>
      </c>
      <c r="E383" s="5" t="str">
        <f>RawData!D383</f>
        <v>P1013</v>
      </c>
      <c r="G383" s="5" t="str">
        <f t="array" ref="G383">XLOOKUP(E383, Products!A:A, Products!C:C)</f>
        <v>Furniture</v>
      </c>
      <c r="H383" s="5">
        <f>RawData!E383</f>
        <v>9</v>
      </c>
      <c r="I383" s="5">
        <f>RawData!F383</f>
        <v>59.18</v>
      </c>
      <c r="J383" s="5">
        <f>RawData!G383</f>
        <v>532.62</v>
      </c>
      <c r="K383" s="5" t="str">
        <f>RawData!H383</f>
        <v>West</v>
      </c>
      <c r="L383" s="5" t="str">
        <f t="shared" si="1"/>
        <v>Sep</v>
      </c>
    </row>
    <row r="384">
      <c r="A384" s="5" t="str">
        <f>RawData!A384</f>
        <v>ORD-5383</v>
      </c>
      <c r="B384" s="8">
        <f>RawData!B384</f>
        <v>45405</v>
      </c>
      <c r="C384" s="5" t="str">
        <f>RawData!C384</f>
        <v>C2193</v>
      </c>
      <c r="D384" s="5" t="str">
        <f>VLOOKUP(C384, Customers!A:B,2,FALSE)</f>
        <v/>
      </c>
      <c r="E384" s="5" t="str">
        <f>RawData!D384</f>
        <v>P1031</v>
      </c>
      <c r="G384" s="5" t="str">
        <f t="array" ref="G384">XLOOKUP(E384, Products!A:A, Products!C:C)</f>
        <v>Furniture</v>
      </c>
      <c r="H384" s="5">
        <f>RawData!E384</f>
        <v>4</v>
      </c>
      <c r="I384" s="5">
        <f>RawData!F384</f>
        <v>44.18</v>
      </c>
      <c r="J384" s="5">
        <f>RawData!G384</f>
        <v>176.72</v>
      </c>
      <c r="K384" s="5" t="str">
        <f>RawData!H384</f>
        <v>South</v>
      </c>
      <c r="L384" s="5" t="str">
        <f t="shared" si="1"/>
        <v>Apr</v>
      </c>
    </row>
    <row r="385">
      <c r="A385" s="5" t="str">
        <f>RawData!A385</f>
        <v>ORD-5384</v>
      </c>
      <c r="B385" s="8">
        <f>RawData!B385</f>
        <v>45736</v>
      </c>
      <c r="C385" s="5" t="str">
        <f>RawData!C385</f>
        <v>C2296</v>
      </c>
      <c r="D385" s="5" t="str">
        <f>VLOOKUP(C385, Customers!A:B,2,FALSE)</f>
        <v/>
      </c>
      <c r="E385" s="5" t="str">
        <f>RawData!D385</f>
        <v>P1012</v>
      </c>
      <c r="G385" s="5" t="str">
        <f t="array" ref="G385">XLOOKUP(E385, Products!A:A, Products!C:C)</f>
        <v>Electronics</v>
      </c>
      <c r="H385" s="5">
        <f>RawData!E385</f>
        <v>2</v>
      </c>
      <c r="I385" s="5">
        <f>RawData!F385</f>
        <v>143.99</v>
      </c>
      <c r="J385" s="5">
        <f>RawData!G385</f>
        <v>287.98</v>
      </c>
      <c r="K385" s="5" t="str">
        <f>RawData!H385</f>
        <v>East</v>
      </c>
      <c r="L385" s="5" t="str">
        <f t="shared" si="1"/>
        <v>Mar</v>
      </c>
    </row>
    <row r="386">
      <c r="A386" s="5" t="str">
        <f>RawData!A386</f>
        <v>ORD-5385</v>
      </c>
      <c r="B386" s="8">
        <f>RawData!B386</f>
        <v>44789</v>
      </c>
      <c r="C386" s="5" t="str">
        <f>RawData!C386</f>
        <v>C2186</v>
      </c>
      <c r="D386" s="5" t="str">
        <f>VLOOKUP(C386, Customers!A:B,2,FALSE)</f>
        <v/>
      </c>
      <c r="E386" s="5" t="str">
        <f>RawData!D386</f>
        <v>P1041</v>
      </c>
      <c r="G386" s="5" t="str">
        <f t="array" ref="G386">XLOOKUP(E386, Products!A:A, Products!C:C)</f>
        <v>Furniture</v>
      </c>
      <c r="H386" s="5">
        <f>RawData!E386</f>
        <v>1</v>
      </c>
      <c r="I386" s="5">
        <f>RawData!F386</f>
        <v>133.47</v>
      </c>
      <c r="J386" s="5">
        <f>RawData!G386</f>
        <v>133.47</v>
      </c>
      <c r="K386" s="5" t="str">
        <f>RawData!H386</f>
        <v>South</v>
      </c>
      <c r="L386" s="5" t="str">
        <f t="shared" si="1"/>
        <v>Aug</v>
      </c>
    </row>
    <row r="387">
      <c r="A387" s="5" t="str">
        <f>RawData!A387</f>
        <v>ORD-5386</v>
      </c>
      <c r="B387" s="8">
        <f>RawData!B387</f>
        <v>45499</v>
      </c>
      <c r="C387" s="5" t="str">
        <f>RawData!C387</f>
        <v>C2110</v>
      </c>
      <c r="D387" s="5" t="str">
        <f>VLOOKUP(C387, Customers!A:B,2,FALSE)</f>
        <v/>
      </c>
      <c r="E387" s="5" t="str">
        <f>RawData!D387</f>
        <v>P1050</v>
      </c>
      <c r="G387" s="5" t="str">
        <f t="array" ref="G387">XLOOKUP(E387, Products!A:A, Products!C:C)</f>
        <v>Electronics</v>
      </c>
      <c r="H387" s="5">
        <f>RawData!E387</f>
        <v>10</v>
      </c>
      <c r="I387" s="5">
        <f>RawData!F387</f>
        <v>161.48</v>
      </c>
      <c r="J387" s="5">
        <f>RawData!G387</f>
        <v>1614.8</v>
      </c>
      <c r="K387" s="5" t="str">
        <f>RawData!H387</f>
        <v>East</v>
      </c>
      <c r="L387" s="5" t="str">
        <f t="shared" si="1"/>
        <v>Jul</v>
      </c>
    </row>
    <row r="388">
      <c r="A388" s="5" t="str">
        <f>RawData!A388</f>
        <v>ORD-5387</v>
      </c>
      <c r="B388" s="8">
        <f>RawData!B388</f>
        <v>44874</v>
      </c>
      <c r="C388" s="5" t="str">
        <f>RawData!C388</f>
        <v>C2372</v>
      </c>
      <c r="D388" s="5" t="str">
        <f>VLOOKUP(C388, Customers!A:B,2,FALSE)</f>
        <v/>
      </c>
      <c r="E388" s="5" t="str">
        <f>RawData!D388</f>
        <v>P1015</v>
      </c>
      <c r="G388" s="5" t="str">
        <f t="array" ref="G388">XLOOKUP(E388, Products!A:A, Products!C:C)</f>
        <v>Furniture</v>
      </c>
      <c r="H388" s="5">
        <f>RawData!E388</f>
        <v>6</v>
      </c>
      <c r="I388" s="5">
        <f>RawData!F388</f>
        <v>144.86</v>
      </c>
      <c r="J388" s="5">
        <f>RawData!G388</f>
        <v>869.16</v>
      </c>
      <c r="K388" s="5" t="str">
        <f>RawData!H388</f>
        <v>East</v>
      </c>
      <c r="L388" s="5" t="str">
        <f t="shared" si="1"/>
        <v>Nov</v>
      </c>
    </row>
    <row r="389">
      <c r="A389" s="5" t="str">
        <f>RawData!A389</f>
        <v>ORD-5388</v>
      </c>
      <c r="B389" s="8">
        <f>RawData!B389</f>
        <v>45577</v>
      </c>
      <c r="C389" s="5" t="str">
        <f>RawData!C389</f>
        <v>C2159</v>
      </c>
      <c r="D389" s="5" t="str">
        <f>VLOOKUP(C389, Customers!A:B,2,FALSE)</f>
        <v/>
      </c>
      <c r="E389" s="5" t="str">
        <f>RawData!D389</f>
        <v>P1010</v>
      </c>
      <c r="G389" s="5" t="str">
        <f t="array" ref="G389">XLOOKUP(E389, Products!A:A, Products!C:C)</f>
        <v>Electronics</v>
      </c>
      <c r="H389" s="5">
        <f>RawData!E389</f>
        <v>8</v>
      </c>
      <c r="I389" s="5">
        <f>RawData!F389</f>
        <v>75.41</v>
      </c>
      <c r="J389" s="5">
        <f>RawData!G389</f>
        <v>603.28</v>
      </c>
      <c r="K389" s="5" t="str">
        <f>RawData!H389</f>
        <v>North</v>
      </c>
      <c r="L389" s="5" t="str">
        <f t="shared" si="1"/>
        <v>Oct</v>
      </c>
    </row>
    <row r="390">
      <c r="A390" s="5" t="str">
        <f>RawData!A390</f>
        <v>ORD-5389</v>
      </c>
      <c r="B390" s="8">
        <f>RawData!B390</f>
        <v>45130</v>
      </c>
      <c r="C390" s="5" t="str">
        <f>RawData!C390</f>
        <v>C2104</v>
      </c>
      <c r="D390" s="5" t="str">
        <f>VLOOKUP(C390, Customers!A:B,2,FALSE)</f>
        <v/>
      </c>
      <c r="E390" s="5" t="str">
        <f>RawData!D390</f>
        <v>P1010</v>
      </c>
      <c r="G390" s="5" t="str">
        <f t="array" ref="G390">XLOOKUP(E390, Products!A:A, Products!C:C)</f>
        <v>Electronics</v>
      </c>
      <c r="H390" s="5">
        <f>RawData!E390</f>
        <v>6</v>
      </c>
      <c r="I390" s="5">
        <f>RawData!F390</f>
        <v>75.41</v>
      </c>
      <c r="J390" s="5">
        <f>RawData!G390</f>
        <v>452.46</v>
      </c>
      <c r="K390" s="5" t="str">
        <f>RawData!H390</f>
        <v>West</v>
      </c>
      <c r="L390" s="5" t="str">
        <f t="shared" si="1"/>
        <v>Jul</v>
      </c>
    </row>
    <row r="391">
      <c r="A391" s="5" t="str">
        <f>RawData!A391</f>
        <v>ORD-5390</v>
      </c>
      <c r="B391" s="8">
        <f>RawData!B391</f>
        <v>44824</v>
      </c>
      <c r="C391" s="5" t="str">
        <f>RawData!C391</f>
        <v>C2011</v>
      </c>
      <c r="D391" s="5" t="str">
        <f>VLOOKUP(C391, Customers!A:B,2,FALSE)</f>
        <v/>
      </c>
      <c r="E391" s="5" t="str">
        <f>RawData!D391</f>
        <v>P1050</v>
      </c>
      <c r="G391" s="5" t="str">
        <f t="array" ref="G391">XLOOKUP(E391, Products!A:A, Products!C:C)</f>
        <v>Electronics</v>
      </c>
      <c r="H391" s="5">
        <f>RawData!E391</f>
        <v>6</v>
      </c>
      <c r="I391" s="5">
        <f>RawData!F391</f>
        <v>161.48</v>
      </c>
      <c r="J391" s="5">
        <f>RawData!G391</f>
        <v>968.88</v>
      </c>
      <c r="K391" s="5" t="str">
        <f>RawData!H391</f>
        <v>West</v>
      </c>
      <c r="L391" s="5" t="str">
        <f t="shared" si="1"/>
        <v>Sep</v>
      </c>
    </row>
    <row r="392">
      <c r="A392" s="5" t="str">
        <f>RawData!A392</f>
        <v>ORD-5391</v>
      </c>
      <c r="B392" s="8">
        <f>RawData!B392</f>
        <v>45317</v>
      </c>
      <c r="C392" s="5" t="str">
        <f>RawData!C392</f>
        <v>C2036</v>
      </c>
      <c r="D392" s="5" t="str">
        <f>VLOOKUP(C392, Customers!A:B,2,FALSE)</f>
        <v/>
      </c>
      <c r="E392" s="5" t="str">
        <f>RawData!D392</f>
        <v>P1008</v>
      </c>
      <c r="G392" s="5" t="str">
        <f t="array" ref="G392">XLOOKUP(E392, Products!A:A, Products!C:C)</f>
        <v>Accessories</v>
      </c>
      <c r="H392" s="5">
        <f>RawData!E392</f>
        <v>2</v>
      </c>
      <c r="I392" s="5">
        <f>RawData!F392</f>
        <v>190.65</v>
      </c>
      <c r="J392" s="5">
        <f>RawData!G392</f>
        <v>381.3</v>
      </c>
      <c r="K392" s="5" t="str">
        <f>RawData!H392</f>
        <v>South</v>
      </c>
      <c r="L392" s="5" t="str">
        <f t="shared" si="1"/>
        <v>Jan</v>
      </c>
    </row>
    <row r="393">
      <c r="A393" s="5" t="str">
        <f>RawData!A393</f>
        <v>ORD-5392</v>
      </c>
      <c r="B393" s="8">
        <f>RawData!B393</f>
        <v>44719</v>
      </c>
      <c r="C393" s="5" t="str">
        <f>RawData!C393</f>
        <v>C2403</v>
      </c>
      <c r="D393" s="5" t="str">
        <f>VLOOKUP(C393, Customers!A:B,2,FALSE)</f>
        <v/>
      </c>
      <c r="E393" s="5" t="str">
        <f>RawData!D393</f>
        <v>P1006</v>
      </c>
      <c r="G393" s="5" t="str">
        <f t="array" ref="G393">XLOOKUP(E393, Products!A:A, Products!C:C)</f>
        <v>Electronics</v>
      </c>
      <c r="H393" s="5">
        <f>RawData!E393</f>
        <v>10</v>
      </c>
      <c r="I393" s="5">
        <f>RawData!F393</f>
        <v>143.58</v>
      </c>
      <c r="J393" s="5">
        <f>RawData!G393</f>
        <v>1435.8</v>
      </c>
      <c r="K393" s="5" t="str">
        <f>RawData!H393</f>
        <v>West</v>
      </c>
      <c r="L393" s="5" t="str">
        <f t="shared" si="1"/>
        <v>Jun</v>
      </c>
    </row>
    <row r="394">
      <c r="A394" s="5" t="str">
        <f>RawData!A394</f>
        <v>ORD-5393</v>
      </c>
      <c r="B394" s="8">
        <f>RawData!B394</f>
        <v>46033</v>
      </c>
      <c r="C394" s="5" t="str">
        <f>RawData!C394</f>
        <v>C2010</v>
      </c>
      <c r="D394" s="5" t="str">
        <f>VLOOKUP(C394, Customers!A:B,2,FALSE)</f>
        <v/>
      </c>
      <c r="E394" s="5" t="str">
        <f>RawData!D394</f>
        <v>P1013</v>
      </c>
      <c r="G394" s="5" t="str">
        <f t="array" ref="G394">XLOOKUP(E394, Products!A:A, Products!C:C)</f>
        <v>Furniture</v>
      </c>
      <c r="H394" s="5">
        <f>RawData!E394</f>
        <v>1</v>
      </c>
      <c r="I394" s="5">
        <f>RawData!F394</f>
        <v>59.18</v>
      </c>
      <c r="J394" s="5">
        <f>RawData!G394</f>
        <v>59.18</v>
      </c>
      <c r="K394" s="5" t="str">
        <f>RawData!H394</f>
        <v>East</v>
      </c>
      <c r="L394" s="5" t="str">
        <f t="shared" si="1"/>
        <v>Jan</v>
      </c>
    </row>
    <row r="395">
      <c r="A395" s="5" t="str">
        <f>RawData!A395</f>
        <v>ORD-5394</v>
      </c>
      <c r="B395" s="8">
        <f>RawData!B395</f>
        <v>45817</v>
      </c>
      <c r="C395" s="5" t="str">
        <f>RawData!C395</f>
        <v>C2143</v>
      </c>
      <c r="D395" s="5" t="str">
        <f>VLOOKUP(C395, Customers!A:B,2,FALSE)</f>
        <v/>
      </c>
      <c r="E395" s="5" t="str">
        <f>RawData!D395</f>
        <v>P1025</v>
      </c>
      <c r="G395" s="5" t="str">
        <f t="array" ref="G395">XLOOKUP(E395, Products!A:A, Products!C:C)</f>
        <v>Electronics</v>
      </c>
      <c r="H395" s="5">
        <f>RawData!E395</f>
        <v>8</v>
      </c>
      <c r="I395" s="5">
        <f>RawData!F395</f>
        <v>65.45</v>
      </c>
      <c r="J395" s="5">
        <f>RawData!G395</f>
        <v>523.6</v>
      </c>
      <c r="K395" s="5" t="str">
        <f>RawData!H395</f>
        <v>East</v>
      </c>
      <c r="L395" s="5" t="str">
        <f t="shared" si="1"/>
        <v>Jun</v>
      </c>
    </row>
    <row r="396">
      <c r="A396" s="5" t="str">
        <f>RawData!A396</f>
        <v>ORD-5395</v>
      </c>
      <c r="B396" s="8">
        <f>RawData!B396</f>
        <v>45075</v>
      </c>
      <c r="C396" s="5" t="str">
        <f>RawData!C396</f>
        <v>C2243</v>
      </c>
      <c r="D396" s="5" t="str">
        <f>VLOOKUP(C396, Customers!A:B,2,FALSE)</f>
        <v/>
      </c>
      <c r="E396" s="5" t="str">
        <f>RawData!D396</f>
        <v>P1032</v>
      </c>
      <c r="G396" s="5" t="str">
        <f t="array" ref="G396">XLOOKUP(E396, Products!A:A, Products!C:C)</f>
        <v>Fashion</v>
      </c>
      <c r="H396" s="5">
        <f>RawData!E396</f>
        <v>1</v>
      </c>
      <c r="I396" s="5">
        <f>RawData!F396</f>
        <v>52.33</v>
      </c>
      <c r="J396" s="5">
        <f>RawData!G396</f>
        <v>52.33</v>
      </c>
      <c r="K396" s="5" t="str">
        <f>RawData!H396</f>
        <v>South</v>
      </c>
      <c r="L396" s="5" t="str">
        <f t="shared" si="1"/>
        <v>May</v>
      </c>
    </row>
    <row r="397">
      <c r="A397" s="5" t="str">
        <f>RawData!A397</f>
        <v>ORD-5396</v>
      </c>
      <c r="B397" s="8">
        <f>RawData!B397</f>
        <v>45548</v>
      </c>
      <c r="C397" s="5" t="str">
        <f>RawData!C397</f>
        <v>C2054</v>
      </c>
      <c r="D397" s="5" t="str">
        <f>VLOOKUP(C397, Customers!A:B,2,FALSE)</f>
        <v/>
      </c>
      <c r="E397" s="5" t="str">
        <f>RawData!D397</f>
        <v>P1030</v>
      </c>
      <c r="G397" s="5" t="str">
        <f t="array" ref="G397">XLOOKUP(E397, Products!A:A, Products!C:C)</f>
        <v>Electronics</v>
      </c>
      <c r="H397" s="5">
        <f>RawData!E397</f>
        <v>4</v>
      </c>
      <c r="I397" s="5">
        <f>RawData!F397</f>
        <v>100.65</v>
      </c>
      <c r="J397" s="5">
        <f>RawData!G397</f>
        <v>402.6</v>
      </c>
      <c r="K397" s="5" t="str">
        <f>RawData!H397</f>
        <v>East</v>
      </c>
      <c r="L397" s="5" t="str">
        <f t="shared" si="1"/>
        <v>Sep</v>
      </c>
    </row>
    <row r="398">
      <c r="A398" s="5" t="str">
        <f>RawData!A398</f>
        <v>ORD-5397</v>
      </c>
      <c r="B398" s="8">
        <f>RawData!B398</f>
        <v>46088</v>
      </c>
      <c r="C398" s="5" t="str">
        <f>RawData!C398</f>
        <v>C2086</v>
      </c>
      <c r="D398" s="5" t="str">
        <f>VLOOKUP(C398, Customers!A:B,2,FALSE)</f>
        <v/>
      </c>
      <c r="E398" s="5" t="str">
        <f>RawData!D398</f>
        <v>P1003</v>
      </c>
      <c r="G398" s="5" t="str">
        <f t="array" ref="G398">XLOOKUP(E398, Products!A:A, Products!C:C)</f>
        <v>Electronics</v>
      </c>
      <c r="H398" s="5">
        <f>RawData!E398</f>
        <v>2</v>
      </c>
      <c r="I398" s="5">
        <f>RawData!F398</f>
        <v>187.26</v>
      </c>
      <c r="J398" s="5">
        <f>RawData!G398</f>
        <v>374.52</v>
      </c>
      <c r="K398" s="5" t="str">
        <f>RawData!H398</f>
        <v>North</v>
      </c>
      <c r="L398" s="5" t="str">
        <f t="shared" si="1"/>
        <v>Mar</v>
      </c>
    </row>
    <row r="399">
      <c r="A399" s="5" t="str">
        <f>RawData!A399</f>
        <v>ORD-5398</v>
      </c>
      <c r="B399" s="8">
        <f>RawData!B399</f>
        <v>44829</v>
      </c>
      <c r="C399" s="5" t="str">
        <f>RawData!C399</f>
        <v>C2041</v>
      </c>
      <c r="D399" s="5" t="str">
        <f>VLOOKUP(C399, Customers!A:B,2,FALSE)</f>
        <v/>
      </c>
      <c r="E399" s="5" t="str">
        <f>RawData!D399</f>
        <v>P1021</v>
      </c>
      <c r="G399" s="5" t="str">
        <f t="array" ref="G399">XLOOKUP(E399, Products!A:A, Products!C:C)</f>
        <v>Electronics</v>
      </c>
      <c r="H399" s="5">
        <f>RawData!E399</f>
        <v>3</v>
      </c>
      <c r="I399" s="5">
        <f>RawData!F399</f>
        <v>140.72</v>
      </c>
      <c r="J399" s="5">
        <f>RawData!G399</f>
        <v>422.16</v>
      </c>
      <c r="K399" s="5" t="str">
        <f>RawData!H399</f>
        <v>North</v>
      </c>
      <c r="L399" s="5" t="str">
        <f t="shared" si="1"/>
        <v>Sep</v>
      </c>
    </row>
    <row r="400">
      <c r="A400" s="5" t="str">
        <f>RawData!A400</f>
        <v>ORD-5399</v>
      </c>
      <c r="B400" s="8">
        <f>RawData!B400</f>
        <v>44866</v>
      </c>
      <c r="C400" s="5" t="str">
        <f>RawData!C400</f>
        <v>C2355</v>
      </c>
      <c r="D400" s="5" t="str">
        <f>VLOOKUP(C400, Customers!A:B,2,FALSE)</f>
        <v/>
      </c>
      <c r="E400" s="5" t="str">
        <f>RawData!D400</f>
        <v>P1050</v>
      </c>
      <c r="G400" s="5" t="str">
        <f t="array" ref="G400">XLOOKUP(E400, Products!A:A, Products!C:C)</f>
        <v>Electronics</v>
      </c>
      <c r="H400" s="5">
        <f>RawData!E400</f>
        <v>4</v>
      </c>
      <c r="I400" s="5">
        <f>RawData!F400</f>
        <v>161.48</v>
      </c>
      <c r="J400" s="5">
        <f>RawData!G400</f>
        <v>645.92</v>
      </c>
      <c r="K400" s="5" t="str">
        <f>RawData!H400</f>
        <v>North</v>
      </c>
      <c r="L400" s="5" t="str">
        <f t="shared" si="1"/>
        <v>Nov</v>
      </c>
    </row>
    <row r="401">
      <c r="A401" s="5" t="str">
        <f>RawData!A401</f>
        <v>ORD-5400</v>
      </c>
      <c r="B401" s="8">
        <f>RawData!B401</f>
        <v>44679</v>
      </c>
      <c r="C401" s="5" t="str">
        <f>RawData!C401</f>
        <v>C2355</v>
      </c>
      <c r="D401" s="5" t="str">
        <f>VLOOKUP(C401, Customers!A:B,2,FALSE)</f>
        <v/>
      </c>
      <c r="E401" s="5" t="str">
        <f>RawData!D401</f>
        <v>P1044</v>
      </c>
      <c r="G401" s="5" t="str">
        <f t="array" ref="G401">XLOOKUP(E401, Products!A:A, Products!C:C)</f>
        <v>Fashion</v>
      </c>
      <c r="H401" s="5">
        <f>RawData!E401</f>
        <v>4</v>
      </c>
      <c r="I401" s="5">
        <f>RawData!F401</f>
        <v>138.68</v>
      </c>
      <c r="J401" s="5">
        <f>RawData!G401</f>
        <v>554.72</v>
      </c>
      <c r="K401" s="5" t="str">
        <f>RawData!H401</f>
        <v>North</v>
      </c>
      <c r="L401" s="5" t="str">
        <f t="shared" si="1"/>
        <v>Apr</v>
      </c>
    </row>
    <row r="402">
      <c r="A402" s="5" t="str">
        <f>RawData!A402</f>
        <v>ORD-5401</v>
      </c>
      <c r="B402" s="8">
        <f>RawData!B402</f>
        <v>45829</v>
      </c>
      <c r="C402" s="5" t="str">
        <f>RawData!C402</f>
        <v>C2382</v>
      </c>
      <c r="D402" s="5" t="str">
        <f>VLOOKUP(C402, Customers!A:B,2,FALSE)</f>
        <v>Henry Morgan</v>
      </c>
      <c r="E402" s="5" t="str">
        <f>RawData!D402</f>
        <v>P1012</v>
      </c>
      <c r="G402" s="5" t="str">
        <f t="array" ref="G402">XLOOKUP(E402, Products!A:A, Products!C:C)</f>
        <v>Electronics</v>
      </c>
      <c r="H402" s="5">
        <f>RawData!E402</f>
        <v>3</v>
      </c>
      <c r="I402" s="5">
        <f>RawData!F402</f>
        <v>143.99</v>
      </c>
      <c r="J402" s="5">
        <f>RawData!G402</f>
        <v>431.97</v>
      </c>
      <c r="K402" s="5" t="str">
        <f>RawData!H402</f>
        <v>North</v>
      </c>
      <c r="L402" s="5" t="str">
        <f t="shared" si="1"/>
        <v>Jun</v>
      </c>
    </row>
    <row r="403">
      <c r="A403" s="5" t="str">
        <f>RawData!A403</f>
        <v>ORD-5402</v>
      </c>
      <c r="B403" s="8">
        <f>RawData!B403</f>
        <v>45627</v>
      </c>
      <c r="C403" s="5" t="str">
        <f>RawData!C403</f>
        <v>C2389</v>
      </c>
      <c r="D403" s="5" t="str">
        <f>VLOOKUP(C403, Customers!A:B,2,FALSE)</f>
        <v/>
      </c>
      <c r="E403" s="5" t="str">
        <f>RawData!D403</f>
        <v>P1049</v>
      </c>
      <c r="G403" s="5" t="str">
        <f t="array" ref="G403">XLOOKUP(E403, Products!A:A, Products!C:C)</f>
        <v>Accessories</v>
      </c>
      <c r="H403" s="5">
        <f>RawData!E403</f>
        <v>4</v>
      </c>
      <c r="I403" s="5">
        <f>RawData!F403</f>
        <v>62.86</v>
      </c>
      <c r="J403" s="5">
        <f>RawData!G403</f>
        <v>251.44</v>
      </c>
      <c r="K403" s="5" t="str">
        <f>RawData!H403</f>
        <v>East</v>
      </c>
      <c r="L403" s="5" t="str">
        <f t="shared" si="1"/>
        <v>Dec</v>
      </c>
    </row>
    <row r="404">
      <c r="A404" s="5" t="str">
        <f>RawData!A404</f>
        <v>ORD-5403</v>
      </c>
      <c r="B404" s="8">
        <f>RawData!B404</f>
        <v>44563</v>
      </c>
      <c r="C404" s="5" t="str">
        <f>RawData!C404</f>
        <v>C2452</v>
      </c>
      <c r="D404" s="5" t="str">
        <f>VLOOKUP(C404, Customers!A:B,2,FALSE)</f>
        <v/>
      </c>
      <c r="E404" s="5" t="str">
        <f>RawData!D404</f>
        <v>P1030</v>
      </c>
      <c r="G404" s="5" t="str">
        <f t="array" ref="G404">XLOOKUP(E404, Products!A:A, Products!C:C)</f>
        <v>Electronics</v>
      </c>
      <c r="H404" s="5">
        <f>RawData!E404</f>
        <v>4</v>
      </c>
      <c r="I404" s="5">
        <f>RawData!F404</f>
        <v>100.65</v>
      </c>
      <c r="J404" s="5">
        <f>RawData!G404</f>
        <v>402.6</v>
      </c>
      <c r="K404" s="5" t="str">
        <f>RawData!H404</f>
        <v>East</v>
      </c>
      <c r="L404" s="5" t="str">
        <f t="shared" si="1"/>
        <v>Jan</v>
      </c>
    </row>
    <row r="405">
      <c r="A405" s="5" t="str">
        <f>RawData!A405</f>
        <v>ORD-5404</v>
      </c>
      <c r="B405" s="8">
        <f>RawData!B405</f>
        <v>44905</v>
      </c>
      <c r="C405" s="5" t="str">
        <f>RawData!C405</f>
        <v>C2048</v>
      </c>
      <c r="D405" s="5" t="str">
        <f>VLOOKUP(C405, Customers!A:B,2,FALSE)</f>
        <v/>
      </c>
      <c r="E405" s="5" t="str">
        <f>RawData!D405</f>
        <v>P1049</v>
      </c>
      <c r="G405" s="5" t="str">
        <f t="array" ref="G405">XLOOKUP(E405, Products!A:A, Products!C:C)</f>
        <v>Accessories</v>
      </c>
      <c r="H405" s="5">
        <f>RawData!E405</f>
        <v>9</v>
      </c>
      <c r="I405" s="5">
        <f>RawData!F405</f>
        <v>62.86</v>
      </c>
      <c r="J405" s="5">
        <f>RawData!G405</f>
        <v>565.74</v>
      </c>
      <c r="K405" s="5" t="str">
        <f>RawData!H405</f>
        <v>East</v>
      </c>
      <c r="L405" s="5" t="str">
        <f t="shared" si="1"/>
        <v>Dec</v>
      </c>
    </row>
    <row r="406">
      <c r="A406" s="5" t="str">
        <f>RawData!A406</f>
        <v>ORD-5405</v>
      </c>
      <c r="B406" s="8">
        <f>RawData!B406</f>
        <v>44584</v>
      </c>
      <c r="C406" s="5" t="str">
        <f>RawData!C406</f>
        <v>C2375</v>
      </c>
      <c r="D406" s="5" t="str">
        <f>VLOOKUP(C406, Customers!A:B,2,FALSE)</f>
        <v/>
      </c>
      <c r="E406" s="5" t="str">
        <f>RawData!D406</f>
        <v>P1048</v>
      </c>
      <c r="G406" s="5" t="str">
        <f t="array" ref="G406">XLOOKUP(E406, Products!A:A, Products!C:C)</f>
        <v>Accessories</v>
      </c>
      <c r="H406" s="5">
        <f>RawData!E406</f>
        <v>1</v>
      </c>
      <c r="I406" s="5">
        <f>RawData!F406</f>
        <v>174.29</v>
      </c>
      <c r="J406" s="5">
        <f>RawData!G406</f>
        <v>174.29</v>
      </c>
      <c r="K406" s="5" t="str">
        <f>RawData!H406</f>
        <v>South</v>
      </c>
      <c r="L406" s="5" t="str">
        <f t="shared" si="1"/>
        <v>Jan</v>
      </c>
    </row>
    <row r="407">
      <c r="A407" s="5" t="str">
        <f>RawData!A407</f>
        <v>ORD-5406</v>
      </c>
      <c r="B407" s="8">
        <f>RawData!B407</f>
        <v>45823</v>
      </c>
      <c r="C407" s="5" t="str">
        <f>RawData!C407</f>
        <v>C2341</v>
      </c>
      <c r="D407" s="5" t="str">
        <f>VLOOKUP(C407, Customers!A:B,2,FALSE)</f>
        <v/>
      </c>
      <c r="E407" s="5" t="str">
        <f>RawData!D407</f>
        <v>P1017</v>
      </c>
      <c r="G407" s="5" t="str">
        <f t="array" ref="G407">XLOOKUP(E407, Products!A:A, Products!C:C)</f>
        <v>Furniture</v>
      </c>
      <c r="H407" s="5">
        <f>RawData!E407</f>
        <v>8</v>
      </c>
      <c r="I407" s="5">
        <f>RawData!F407</f>
        <v>43.15</v>
      </c>
      <c r="J407" s="5">
        <f>RawData!G407</f>
        <v>345.2</v>
      </c>
      <c r="K407" s="5" t="str">
        <f>RawData!H407</f>
        <v>West</v>
      </c>
      <c r="L407" s="5" t="str">
        <f t="shared" si="1"/>
        <v>Jun</v>
      </c>
    </row>
    <row r="408">
      <c r="A408" s="5" t="str">
        <f>RawData!A408</f>
        <v>ORD-5407</v>
      </c>
      <c r="B408" s="8">
        <f>RawData!B408</f>
        <v>46083</v>
      </c>
      <c r="C408" s="5" t="str">
        <f>RawData!C408</f>
        <v>C2074</v>
      </c>
      <c r="D408" s="5" t="str">
        <f>VLOOKUP(C408, Customers!A:B,2,FALSE)</f>
        <v/>
      </c>
      <c r="E408" s="5" t="str">
        <f>RawData!D408</f>
        <v>P1011</v>
      </c>
      <c r="G408" s="5" t="str">
        <f t="array" ref="G408">XLOOKUP(E408, Products!A:A, Products!C:C)</f>
        <v>Home</v>
      </c>
      <c r="H408" s="5">
        <f>RawData!E408</f>
        <v>7</v>
      </c>
      <c r="I408" s="5">
        <f>RawData!F408</f>
        <v>114.21</v>
      </c>
      <c r="J408" s="5">
        <f>RawData!G408</f>
        <v>799.47</v>
      </c>
      <c r="K408" s="5" t="str">
        <f>RawData!H408</f>
        <v>South</v>
      </c>
      <c r="L408" s="5" t="str">
        <f t="shared" si="1"/>
        <v>Mar</v>
      </c>
    </row>
    <row r="409">
      <c r="A409" s="5" t="str">
        <f>RawData!A409</f>
        <v>ORD-5408</v>
      </c>
      <c r="B409" s="8">
        <f>RawData!B409</f>
        <v>45984</v>
      </c>
      <c r="C409" s="5" t="str">
        <f>RawData!C409</f>
        <v>C2446</v>
      </c>
      <c r="D409" s="5" t="str">
        <f>VLOOKUP(C409, Customers!A:B,2,FALSE)</f>
        <v/>
      </c>
      <c r="E409" s="5" t="str">
        <f>RawData!D409</f>
        <v>P1010</v>
      </c>
      <c r="G409" s="5" t="str">
        <f t="array" ref="G409">XLOOKUP(E409, Products!A:A, Products!C:C)</f>
        <v>Electronics</v>
      </c>
      <c r="H409" s="5">
        <f>RawData!E409</f>
        <v>3</v>
      </c>
      <c r="I409" s="5">
        <f>RawData!F409</f>
        <v>75.41</v>
      </c>
      <c r="J409" s="5">
        <f>RawData!G409</f>
        <v>226.23</v>
      </c>
      <c r="K409" s="5" t="str">
        <f>RawData!H409</f>
        <v>South</v>
      </c>
      <c r="L409" s="5" t="str">
        <f t="shared" si="1"/>
        <v>Nov</v>
      </c>
    </row>
    <row r="410">
      <c r="A410" s="5" t="str">
        <f>RawData!A410</f>
        <v>ORD-5409</v>
      </c>
      <c r="B410" s="8">
        <f>RawData!B410</f>
        <v>44684</v>
      </c>
      <c r="C410" s="5" t="str">
        <f>RawData!C410</f>
        <v>C2171</v>
      </c>
      <c r="D410" s="5" t="str">
        <f>VLOOKUP(C410, Customers!A:B,2,FALSE)</f>
        <v/>
      </c>
      <c r="E410" s="5" t="str">
        <f>RawData!D410</f>
        <v>P1034</v>
      </c>
      <c r="G410" s="5" t="str">
        <f t="array" ref="G410">XLOOKUP(E410, Products!A:A, Products!C:C)</f>
        <v>Electronics</v>
      </c>
      <c r="H410" s="5">
        <f>RawData!E410</f>
        <v>1</v>
      </c>
      <c r="I410" s="5">
        <f>RawData!F410</f>
        <v>191.23</v>
      </c>
      <c r="J410" s="5">
        <f>RawData!G410</f>
        <v>191.23</v>
      </c>
      <c r="K410" s="5" t="str">
        <f>RawData!H410</f>
        <v>South</v>
      </c>
      <c r="L410" s="5" t="str">
        <f t="shared" si="1"/>
        <v>May</v>
      </c>
    </row>
    <row r="411">
      <c r="A411" s="5" t="str">
        <f>RawData!A411</f>
        <v>ORD-5410</v>
      </c>
      <c r="B411" s="8">
        <f>RawData!B411</f>
        <v>46036</v>
      </c>
      <c r="C411" s="5" t="str">
        <f>RawData!C411</f>
        <v>C2005</v>
      </c>
      <c r="D411" s="5" t="str">
        <f>VLOOKUP(C411, Customers!A:B,2,FALSE)</f>
        <v/>
      </c>
      <c r="E411" s="5" t="str">
        <f>RawData!D411</f>
        <v>P1048</v>
      </c>
      <c r="G411" s="5" t="str">
        <f t="array" ref="G411">XLOOKUP(E411, Products!A:A, Products!C:C)</f>
        <v>Accessories</v>
      </c>
      <c r="H411" s="5">
        <f>RawData!E411</f>
        <v>10</v>
      </c>
      <c r="I411" s="5">
        <f>RawData!F411</f>
        <v>174.29</v>
      </c>
      <c r="J411" s="5">
        <f>RawData!G411</f>
        <v>1742.9</v>
      </c>
      <c r="K411" s="5" t="str">
        <f>RawData!H411</f>
        <v>South</v>
      </c>
      <c r="L411" s="5" t="str">
        <f t="shared" si="1"/>
        <v>Jan</v>
      </c>
    </row>
    <row r="412">
      <c r="A412" s="5" t="str">
        <f>RawData!A412</f>
        <v>ORD-5411</v>
      </c>
      <c r="B412" s="8">
        <f>RawData!B412</f>
        <v>45798</v>
      </c>
      <c r="C412" s="5" t="str">
        <f>RawData!C412</f>
        <v>C2213</v>
      </c>
      <c r="D412" s="5" t="str">
        <f>VLOOKUP(C412, Customers!A:B,2,FALSE)</f>
        <v/>
      </c>
      <c r="E412" s="5" t="str">
        <f>RawData!D412</f>
        <v>P1007</v>
      </c>
      <c r="G412" s="5" t="str">
        <f t="array" ref="G412">XLOOKUP(E412, Products!A:A, Products!C:C)</f>
        <v>Accessories</v>
      </c>
      <c r="H412" s="5">
        <f>RawData!E412</f>
        <v>6</v>
      </c>
      <c r="I412" s="5">
        <f>RawData!F412</f>
        <v>37.05</v>
      </c>
      <c r="J412" s="5">
        <f>RawData!G412</f>
        <v>222.3</v>
      </c>
      <c r="K412" s="5" t="str">
        <f>RawData!H412</f>
        <v>East</v>
      </c>
      <c r="L412" s="5" t="str">
        <f t="shared" si="1"/>
        <v>May</v>
      </c>
    </row>
    <row r="413">
      <c r="A413" s="5" t="str">
        <f>RawData!A413</f>
        <v>ORD-5412</v>
      </c>
      <c r="B413" s="8">
        <f>RawData!B413</f>
        <v>45202</v>
      </c>
      <c r="C413" s="5" t="str">
        <f>RawData!C413</f>
        <v>C2024</v>
      </c>
      <c r="D413" s="5" t="str">
        <f>VLOOKUP(C413, Customers!A:B,2,FALSE)</f>
        <v/>
      </c>
      <c r="E413" s="5" t="str">
        <f>RawData!D413</f>
        <v>P1042</v>
      </c>
      <c r="G413" s="5" t="str">
        <f t="array" ref="G413">XLOOKUP(E413, Products!A:A, Products!C:C)</f>
        <v>Electronics</v>
      </c>
      <c r="H413" s="5">
        <f>RawData!E413</f>
        <v>5</v>
      </c>
      <c r="I413" s="5">
        <f>RawData!F413</f>
        <v>90.5</v>
      </c>
      <c r="J413" s="5">
        <f>RawData!G413</f>
        <v>452.5</v>
      </c>
      <c r="K413" s="5" t="str">
        <f>RawData!H413</f>
        <v>East</v>
      </c>
      <c r="L413" s="5" t="str">
        <f t="shared" si="1"/>
        <v>Oct</v>
      </c>
    </row>
    <row r="414">
      <c r="A414" s="5" t="str">
        <f>RawData!A414</f>
        <v>ORD-5413</v>
      </c>
      <c r="B414" s="8">
        <f>RawData!B414</f>
        <v>44835</v>
      </c>
      <c r="C414" s="5" t="str">
        <f>RawData!C414</f>
        <v>C2170</v>
      </c>
      <c r="D414" s="5" t="str">
        <f>VLOOKUP(C414, Customers!A:B,2,FALSE)</f>
        <v>Hannah Perry</v>
      </c>
      <c r="E414" s="5" t="str">
        <f>RawData!D414</f>
        <v>P1036</v>
      </c>
      <c r="G414" s="5" t="str">
        <f t="array" ref="G414">XLOOKUP(E414, Products!A:A, Products!C:C)</f>
        <v>Fashion</v>
      </c>
      <c r="H414" s="5">
        <f>RawData!E414</f>
        <v>4</v>
      </c>
      <c r="I414" s="5">
        <f>RawData!F414</f>
        <v>146.68</v>
      </c>
      <c r="J414" s="5">
        <f>RawData!G414</f>
        <v>586.72</v>
      </c>
      <c r="K414" s="5" t="str">
        <f>RawData!H414</f>
        <v>North</v>
      </c>
      <c r="L414" s="5" t="str">
        <f t="shared" si="1"/>
        <v>Oct</v>
      </c>
    </row>
    <row r="415">
      <c r="A415" s="5" t="str">
        <f>RawData!A415</f>
        <v>ORD-5414</v>
      </c>
      <c r="B415" s="8">
        <f>RawData!B415</f>
        <v>44595</v>
      </c>
      <c r="C415" s="5" t="str">
        <f>RawData!C415</f>
        <v>C2117</v>
      </c>
      <c r="D415" s="5" t="str">
        <f>VLOOKUP(C415, Customers!A:B,2,FALSE)</f>
        <v/>
      </c>
      <c r="E415" s="5" t="str">
        <f>RawData!D415</f>
        <v>P1001</v>
      </c>
      <c r="G415" s="5" t="str">
        <f t="array" ref="G415">XLOOKUP(E415, Products!A:A, Products!C:C)</f>
        <v>Electronics</v>
      </c>
      <c r="H415" s="5">
        <f>RawData!E415</f>
        <v>9</v>
      </c>
      <c r="I415" s="5">
        <f>RawData!F415</f>
        <v>144.69</v>
      </c>
      <c r="J415" s="5">
        <f>RawData!G415</f>
        <v>1302.21</v>
      </c>
      <c r="K415" s="5" t="str">
        <f>RawData!H415</f>
        <v>South</v>
      </c>
      <c r="L415" s="5" t="str">
        <f t="shared" si="1"/>
        <v>Feb</v>
      </c>
    </row>
    <row r="416">
      <c r="A416" s="5" t="str">
        <f>RawData!A416</f>
        <v>ORD-5415</v>
      </c>
      <c r="B416" s="8">
        <f>RawData!B416</f>
        <v>44591</v>
      </c>
      <c r="C416" s="5" t="str">
        <f>RawData!C416</f>
        <v>C2250</v>
      </c>
      <c r="D416" s="5" t="str">
        <f>VLOOKUP(C416, Customers!A:B,2,FALSE)</f>
        <v/>
      </c>
      <c r="E416" s="5" t="str">
        <f>RawData!D416</f>
        <v>P1014</v>
      </c>
      <c r="G416" s="5" t="str">
        <f t="array" ref="G416">XLOOKUP(E416, Products!A:A, Products!C:C)</f>
        <v>Electronics</v>
      </c>
      <c r="H416" s="5">
        <f>RawData!E416</f>
        <v>9</v>
      </c>
      <c r="I416" s="5">
        <f>RawData!F416</f>
        <v>54.76</v>
      </c>
      <c r="J416" s="5">
        <f>RawData!G416</f>
        <v>492.84</v>
      </c>
      <c r="K416" s="5" t="str">
        <f>RawData!H416</f>
        <v>South</v>
      </c>
      <c r="L416" s="5" t="str">
        <f t="shared" si="1"/>
        <v>Jan</v>
      </c>
    </row>
    <row r="417">
      <c r="A417" s="5" t="str">
        <f>RawData!A417</f>
        <v>ORD-5416</v>
      </c>
      <c r="B417" s="8">
        <f>RawData!B417</f>
        <v>45287</v>
      </c>
      <c r="C417" s="5" t="str">
        <f>RawData!C417</f>
        <v>C2067</v>
      </c>
      <c r="D417" s="5" t="str">
        <f>VLOOKUP(C417, Customers!A:B,2,FALSE)</f>
        <v/>
      </c>
      <c r="E417" s="5" t="str">
        <f>RawData!D417</f>
        <v>P1048</v>
      </c>
      <c r="G417" s="5" t="str">
        <f t="array" ref="G417">XLOOKUP(E417, Products!A:A, Products!C:C)</f>
        <v>Accessories</v>
      </c>
      <c r="H417" s="5">
        <f>RawData!E417</f>
        <v>5</v>
      </c>
      <c r="I417" s="5">
        <f>RawData!F417</f>
        <v>174.29</v>
      </c>
      <c r="J417" s="5">
        <f>RawData!G417</f>
        <v>871.45</v>
      </c>
      <c r="K417" s="5" t="str">
        <f>RawData!H417</f>
        <v>East</v>
      </c>
      <c r="L417" s="5" t="str">
        <f t="shared" si="1"/>
        <v>Dec</v>
      </c>
    </row>
    <row r="418">
      <c r="A418" s="5" t="str">
        <f>RawData!A418</f>
        <v>ORD-5417</v>
      </c>
      <c r="B418" s="8">
        <f>RawData!B418</f>
        <v>45068</v>
      </c>
      <c r="C418" s="5" t="str">
        <f>RawData!C418</f>
        <v>C2230</v>
      </c>
      <c r="D418" s="5" t="str">
        <f>VLOOKUP(C418, Customers!A:B,2,FALSE)</f>
        <v/>
      </c>
      <c r="E418" s="5" t="str">
        <f>RawData!D418</f>
        <v>P1009</v>
      </c>
      <c r="G418" s="5" t="str">
        <f t="array" ref="G418">XLOOKUP(E418, Products!A:A, Products!C:C)</f>
        <v>Electronics</v>
      </c>
      <c r="H418" s="5">
        <f>RawData!E418</f>
        <v>2</v>
      </c>
      <c r="I418" s="5">
        <f>RawData!F418</f>
        <v>74.83</v>
      </c>
      <c r="J418" s="5">
        <f>RawData!G418</f>
        <v>149.66</v>
      </c>
      <c r="K418" s="5" t="str">
        <f>RawData!H418</f>
        <v>North</v>
      </c>
      <c r="L418" s="5" t="str">
        <f t="shared" si="1"/>
        <v>May</v>
      </c>
    </row>
    <row r="419">
      <c r="A419" s="5" t="str">
        <f>RawData!A419</f>
        <v>ORD-5418</v>
      </c>
      <c r="B419" s="8">
        <f>RawData!B419</f>
        <v>44721</v>
      </c>
      <c r="C419" s="5" t="str">
        <f>RawData!C419</f>
        <v>C2230</v>
      </c>
      <c r="D419" s="5" t="str">
        <f>VLOOKUP(C419, Customers!A:B,2,FALSE)</f>
        <v/>
      </c>
      <c r="E419" s="5" t="str">
        <f>RawData!D419</f>
        <v>P1014</v>
      </c>
      <c r="G419" s="5" t="str">
        <f t="array" ref="G419">XLOOKUP(E419, Products!A:A, Products!C:C)</f>
        <v>Electronics</v>
      </c>
      <c r="H419" s="5">
        <f>RawData!E419</f>
        <v>2</v>
      </c>
      <c r="I419" s="5">
        <f>RawData!F419</f>
        <v>54.76</v>
      </c>
      <c r="J419" s="5">
        <f>RawData!G419</f>
        <v>109.52</v>
      </c>
      <c r="K419" s="5" t="str">
        <f>RawData!H419</f>
        <v>South</v>
      </c>
      <c r="L419" s="5" t="str">
        <f t="shared" si="1"/>
        <v>Jun</v>
      </c>
    </row>
    <row r="420">
      <c r="A420" s="5" t="str">
        <f>RawData!A420</f>
        <v>ORD-5419</v>
      </c>
      <c r="B420" s="8">
        <f>RawData!B420</f>
        <v>45293</v>
      </c>
      <c r="C420" s="5" t="str">
        <f>RawData!C420</f>
        <v>C2181</v>
      </c>
      <c r="D420" s="5" t="str">
        <f>VLOOKUP(C420, Customers!A:B,2,FALSE)</f>
        <v/>
      </c>
      <c r="E420" s="5" t="str">
        <f>RawData!D420</f>
        <v>P1002</v>
      </c>
      <c r="G420" s="5" t="str">
        <f t="array" ref="G420">XLOOKUP(E420, Products!A:A, Products!C:C)</f>
        <v>Furniture</v>
      </c>
      <c r="H420" s="5">
        <f>RawData!E420</f>
        <v>7</v>
      </c>
      <c r="I420" s="5">
        <f>RawData!F420</f>
        <v>109.31</v>
      </c>
      <c r="J420" s="5">
        <f>RawData!G420</f>
        <v>765.17</v>
      </c>
      <c r="K420" s="5" t="str">
        <f>RawData!H420</f>
        <v>South</v>
      </c>
      <c r="L420" s="5" t="str">
        <f t="shared" si="1"/>
        <v>Jan</v>
      </c>
    </row>
    <row r="421">
      <c r="A421" s="5" t="str">
        <f>RawData!A421</f>
        <v>ORD-5420</v>
      </c>
      <c r="B421" s="8">
        <f>RawData!B421</f>
        <v>46013</v>
      </c>
      <c r="C421" s="5" t="str">
        <f>RawData!C421</f>
        <v>C2082</v>
      </c>
      <c r="D421" s="5" t="str">
        <f>VLOOKUP(C421, Customers!A:B,2,FALSE)</f>
        <v/>
      </c>
      <c r="E421" s="5" t="str">
        <f>RawData!D421</f>
        <v>P1036</v>
      </c>
      <c r="G421" s="5" t="str">
        <f t="array" ref="G421">XLOOKUP(E421, Products!A:A, Products!C:C)</f>
        <v>Fashion</v>
      </c>
      <c r="H421" s="5">
        <f>RawData!E421</f>
        <v>10</v>
      </c>
      <c r="I421" s="5">
        <f>RawData!F421</f>
        <v>146.68</v>
      </c>
      <c r="J421" s="5">
        <f>RawData!G421</f>
        <v>1466.8</v>
      </c>
      <c r="K421" s="5" t="str">
        <f>RawData!H421</f>
        <v>West</v>
      </c>
      <c r="L421" s="5" t="str">
        <f t="shared" si="1"/>
        <v>Dec</v>
      </c>
    </row>
    <row r="422">
      <c r="A422" s="5" t="str">
        <f>RawData!A422</f>
        <v>ORD-5421</v>
      </c>
      <c r="B422" s="8">
        <f>RawData!B422</f>
        <v>45985</v>
      </c>
      <c r="C422" s="5" t="str">
        <f>RawData!C422</f>
        <v>C2310</v>
      </c>
      <c r="D422" s="5" t="str">
        <f>VLOOKUP(C422, Customers!A:B,2,FALSE)</f>
        <v/>
      </c>
      <c r="E422" s="5" t="str">
        <f>RawData!D422</f>
        <v>P1033</v>
      </c>
      <c r="G422" s="5" t="str">
        <f t="array" ref="G422">XLOOKUP(E422, Products!A:A, Products!C:C)</f>
        <v>Accessories</v>
      </c>
      <c r="H422" s="5">
        <f>RawData!E422</f>
        <v>4</v>
      </c>
      <c r="I422" s="5">
        <f>RawData!F422</f>
        <v>170.73</v>
      </c>
      <c r="J422" s="5">
        <f>RawData!G422</f>
        <v>682.92</v>
      </c>
      <c r="K422" s="5" t="str">
        <f>RawData!H422</f>
        <v>South</v>
      </c>
      <c r="L422" s="5" t="str">
        <f t="shared" si="1"/>
        <v>Nov</v>
      </c>
    </row>
    <row r="423">
      <c r="A423" s="5" t="str">
        <f>RawData!A423</f>
        <v>ORD-5422</v>
      </c>
      <c r="B423" s="8">
        <f>RawData!B423</f>
        <v>45421</v>
      </c>
      <c r="C423" s="5" t="str">
        <f>RawData!C423</f>
        <v>C2500</v>
      </c>
      <c r="D423" s="5" t="str">
        <f>VLOOKUP(C423, Customers!A:B,2,FALSE)</f>
        <v/>
      </c>
      <c r="E423" s="5" t="str">
        <f>RawData!D423</f>
        <v>P1028</v>
      </c>
      <c r="G423" s="5" t="str">
        <f t="array" ref="G423">XLOOKUP(E423, Products!A:A, Products!C:C)</f>
        <v>Furniture</v>
      </c>
      <c r="H423" s="5">
        <f>RawData!E423</f>
        <v>2</v>
      </c>
      <c r="I423" s="5">
        <f>RawData!F423</f>
        <v>82.34</v>
      </c>
      <c r="J423" s="5">
        <f>RawData!G423</f>
        <v>164.68</v>
      </c>
      <c r="K423" s="5" t="str">
        <f>RawData!H423</f>
        <v>West</v>
      </c>
      <c r="L423" s="5" t="str">
        <f t="shared" si="1"/>
        <v>May</v>
      </c>
    </row>
    <row r="424">
      <c r="A424" s="5" t="str">
        <f>RawData!A424</f>
        <v>ORD-5423</v>
      </c>
      <c r="B424" s="8">
        <f>RawData!B424</f>
        <v>44876</v>
      </c>
      <c r="C424" s="5" t="str">
        <f>RawData!C424</f>
        <v>C2044</v>
      </c>
      <c r="D424" s="5" t="str">
        <f>VLOOKUP(C424, Customers!A:B,2,FALSE)</f>
        <v/>
      </c>
      <c r="E424" s="5" t="str">
        <f>RawData!D424</f>
        <v>P1012</v>
      </c>
      <c r="G424" s="5" t="str">
        <f t="array" ref="G424">XLOOKUP(E424, Products!A:A, Products!C:C)</f>
        <v>Electronics</v>
      </c>
      <c r="H424" s="5">
        <f>RawData!E424</f>
        <v>6</v>
      </c>
      <c r="I424" s="5">
        <f>RawData!F424</f>
        <v>143.99</v>
      </c>
      <c r="J424" s="5">
        <f>RawData!G424</f>
        <v>863.94</v>
      </c>
      <c r="K424" s="5" t="str">
        <f>RawData!H424</f>
        <v>East</v>
      </c>
      <c r="L424" s="5" t="str">
        <f t="shared" si="1"/>
        <v>Nov</v>
      </c>
    </row>
    <row r="425">
      <c r="A425" s="5" t="str">
        <f>RawData!A425</f>
        <v>ORD-5424</v>
      </c>
      <c r="B425" s="8">
        <f>RawData!B425</f>
        <v>45125</v>
      </c>
      <c r="C425" s="5" t="str">
        <f>RawData!C425</f>
        <v>C2482</v>
      </c>
      <c r="D425" s="5" t="str">
        <f>VLOOKUP(C425, Customers!A:B,2,FALSE)</f>
        <v/>
      </c>
      <c r="E425" s="5" t="str">
        <f>RawData!D425</f>
        <v>P1019</v>
      </c>
      <c r="G425" s="5" t="str">
        <f t="array" ref="G425">XLOOKUP(E425, Products!A:A, Products!C:C)</f>
        <v>Electronics</v>
      </c>
      <c r="H425" s="5">
        <f>RawData!E425</f>
        <v>7</v>
      </c>
      <c r="I425" s="5">
        <f>RawData!F425</f>
        <v>193.29</v>
      </c>
      <c r="J425" s="5">
        <f>RawData!G425</f>
        <v>1353.03</v>
      </c>
      <c r="K425" s="5" t="str">
        <f>RawData!H425</f>
        <v>South</v>
      </c>
      <c r="L425" s="5" t="str">
        <f t="shared" si="1"/>
        <v>Jul</v>
      </c>
    </row>
    <row r="426">
      <c r="A426" s="5" t="str">
        <f>RawData!A426</f>
        <v>ORD-5425</v>
      </c>
      <c r="B426" s="8">
        <f>RawData!B426</f>
        <v>44707</v>
      </c>
      <c r="C426" s="5" t="str">
        <f>RawData!C426</f>
        <v>C2130</v>
      </c>
      <c r="D426" s="5" t="str">
        <f>VLOOKUP(C426, Customers!A:B,2,FALSE)</f>
        <v/>
      </c>
      <c r="E426" s="5" t="str">
        <f>RawData!D426</f>
        <v>P1049</v>
      </c>
      <c r="G426" s="5" t="str">
        <f t="array" ref="G426">XLOOKUP(E426, Products!A:A, Products!C:C)</f>
        <v>Accessories</v>
      </c>
      <c r="H426" s="5">
        <f>RawData!E426</f>
        <v>9</v>
      </c>
      <c r="I426" s="5">
        <f>RawData!F426</f>
        <v>62.86</v>
      </c>
      <c r="J426" s="5">
        <f>RawData!G426</f>
        <v>565.74</v>
      </c>
      <c r="K426" s="5" t="str">
        <f>RawData!H426</f>
        <v>West</v>
      </c>
      <c r="L426" s="5" t="str">
        <f t="shared" si="1"/>
        <v>May</v>
      </c>
    </row>
    <row r="427">
      <c r="A427" s="5" t="str">
        <f>RawData!A427</f>
        <v>ORD-5426</v>
      </c>
      <c r="B427" s="8">
        <f>RawData!B427</f>
        <v>45587</v>
      </c>
      <c r="C427" s="5" t="str">
        <f>RawData!C427</f>
        <v>C2366</v>
      </c>
      <c r="D427" s="5" t="str">
        <f>VLOOKUP(C427, Customers!A:B,2,FALSE)</f>
        <v/>
      </c>
      <c r="E427" s="5" t="str">
        <f>RawData!D427</f>
        <v>P1015</v>
      </c>
      <c r="G427" s="5" t="str">
        <f t="array" ref="G427">XLOOKUP(E427, Products!A:A, Products!C:C)</f>
        <v>Furniture</v>
      </c>
      <c r="H427" s="5">
        <f>RawData!E427</f>
        <v>7</v>
      </c>
      <c r="I427" s="5">
        <f>RawData!F427</f>
        <v>144.86</v>
      </c>
      <c r="J427" s="5">
        <f>RawData!G427</f>
        <v>1014.02</v>
      </c>
      <c r="K427" s="5" t="str">
        <f>RawData!H427</f>
        <v>West</v>
      </c>
      <c r="L427" s="5" t="str">
        <f t="shared" si="1"/>
        <v>Oct</v>
      </c>
    </row>
    <row r="428">
      <c r="A428" s="5" t="str">
        <f>RawData!A428</f>
        <v>ORD-5427</v>
      </c>
      <c r="B428" s="8">
        <f>RawData!B428</f>
        <v>45410</v>
      </c>
      <c r="C428" s="5" t="str">
        <f>RawData!C428</f>
        <v>C2029</v>
      </c>
      <c r="D428" s="5" t="str">
        <f>VLOOKUP(C428, Customers!A:B,2,FALSE)</f>
        <v/>
      </c>
      <c r="E428" s="5" t="str">
        <f>RawData!D428</f>
        <v>P1037</v>
      </c>
      <c r="G428" s="5" t="str">
        <f t="array" ref="G428">XLOOKUP(E428, Products!A:A, Products!C:C)</f>
        <v>Electronics</v>
      </c>
      <c r="H428" s="5">
        <f>RawData!E428</f>
        <v>6</v>
      </c>
      <c r="I428" s="5">
        <f>RawData!F428</f>
        <v>115.76</v>
      </c>
      <c r="J428" s="5">
        <f>RawData!G428</f>
        <v>694.56</v>
      </c>
      <c r="K428" s="5" t="str">
        <f>RawData!H428</f>
        <v>South</v>
      </c>
      <c r="L428" s="5" t="str">
        <f t="shared" si="1"/>
        <v>Apr</v>
      </c>
    </row>
    <row r="429">
      <c r="A429" s="5" t="str">
        <f>RawData!A429</f>
        <v>ORD-5428</v>
      </c>
      <c r="B429" s="8">
        <f>RawData!B429</f>
        <v>45403</v>
      </c>
      <c r="C429" s="5" t="str">
        <f>RawData!C429</f>
        <v>C2351</v>
      </c>
      <c r="D429" s="5" t="str">
        <f>VLOOKUP(C429, Customers!A:B,2,FALSE)</f>
        <v/>
      </c>
      <c r="E429" s="5" t="str">
        <f>RawData!D429</f>
        <v>P1047</v>
      </c>
      <c r="G429" s="5" t="str">
        <f t="array" ref="G429">XLOOKUP(E429, Products!A:A, Products!C:C)</f>
        <v>Electronics</v>
      </c>
      <c r="H429" s="5">
        <f>RawData!E429</f>
        <v>2</v>
      </c>
      <c r="I429" s="5">
        <f>RawData!F429</f>
        <v>73.45</v>
      </c>
      <c r="J429" s="5">
        <f>RawData!G429</f>
        <v>146.9</v>
      </c>
      <c r="K429" s="5" t="str">
        <f>RawData!H429</f>
        <v>East</v>
      </c>
      <c r="L429" s="5" t="str">
        <f t="shared" si="1"/>
        <v>Apr</v>
      </c>
    </row>
    <row r="430">
      <c r="A430" s="5" t="str">
        <f>RawData!A430</f>
        <v>ORD-5429</v>
      </c>
      <c r="B430" s="8">
        <f>RawData!B430</f>
        <v>45107</v>
      </c>
      <c r="C430" s="5" t="str">
        <f>RawData!C430</f>
        <v>C2265</v>
      </c>
      <c r="D430" s="5" t="str">
        <f>VLOOKUP(C430, Customers!A:B,2,FALSE)</f>
        <v>Liam Carter</v>
      </c>
      <c r="E430" s="5" t="str">
        <f>RawData!D430</f>
        <v>P1028</v>
      </c>
      <c r="G430" s="5" t="str">
        <f t="array" ref="G430">XLOOKUP(E430, Products!A:A, Products!C:C)</f>
        <v>Furniture</v>
      </c>
      <c r="H430" s="5">
        <f>RawData!E430</f>
        <v>4</v>
      </c>
      <c r="I430" s="5">
        <f>RawData!F430</f>
        <v>82.34</v>
      </c>
      <c r="J430" s="5">
        <f>RawData!G430</f>
        <v>329.36</v>
      </c>
      <c r="K430" s="5" t="str">
        <f>RawData!H430</f>
        <v>East</v>
      </c>
      <c r="L430" s="5" t="str">
        <f t="shared" si="1"/>
        <v>Jun</v>
      </c>
    </row>
    <row r="431">
      <c r="A431" s="5" t="str">
        <f>RawData!A431</f>
        <v>ORD-5430</v>
      </c>
      <c r="B431" s="8">
        <f>RawData!B431</f>
        <v>44897</v>
      </c>
      <c r="C431" s="5" t="str">
        <f>RawData!C431</f>
        <v>C2230</v>
      </c>
      <c r="D431" s="5" t="str">
        <f>VLOOKUP(C431, Customers!A:B,2,FALSE)</f>
        <v/>
      </c>
      <c r="E431" s="5" t="str">
        <f>RawData!D431</f>
        <v>P1022</v>
      </c>
      <c r="G431" s="5" t="str">
        <f t="array" ref="G431">XLOOKUP(E431, Products!A:A, Products!C:C)</f>
        <v>Accessories</v>
      </c>
      <c r="H431" s="5">
        <f>RawData!E431</f>
        <v>8</v>
      </c>
      <c r="I431" s="5">
        <f>RawData!F431</f>
        <v>164.53</v>
      </c>
      <c r="J431" s="5">
        <f>RawData!G431</f>
        <v>1316.24</v>
      </c>
      <c r="K431" s="5" t="str">
        <f>RawData!H431</f>
        <v>South</v>
      </c>
      <c r="L431" s="5" t="str">
        <f t="shared" si="1"/>
        <v>Dec</v>
      </c>
    </row>
    <row r="432">
      <c r="A432" s="5" t="str">
        <f>RawData!A432</f>
        <v>ORD-5431</v>
      </c>
      <c r="B432" s="8">
        <f>RawData!B432</f>
        <v>45608</v>
      </c>
      <c r="C432" s="5" t="str">
        <f>RawData!C432</f>
        <v>C2308</v>
      </c>
      <c r="D432" s="5" t="str">
        <f>VLOOKUP(C432, Customers!A:B,2,FALSE)</f>
        <v/>
      </c>
      <c r="E432" s="5" t="str">
        <f>RawData!D432</f>
        <v>P1012</v>
      </c>
      <c r="G432" s="5" t="str">
        <f t="array" ref="G432">XLOOKUP(E432, Products!A:A, Products!C:C)</f>
        <v>Electronics</v>
      </c>
      <c r="H432" s="5">
        <f>RawData!E432</f>
        <v>9</v>
      </c>
      <c r="I432" s="5">
        <f>RawData!F432</f>
        <v>143.99</v>
      </c>
      <c r="J432" s="5">
        <f>RawData!G432</f>
        <v>1295.91</v>
      </c>
      <c r="K432" s="5" t="str">
        <f>RawData!H432</f>
        <v>West</v>
      </c>
      <c r="L432" s="5" t="str">
        <f t="shared" si="1"/>
        <v>Nov</v>
      </c>
    </row>
    <row r="433">
      <c r="A433" s="5" t="str">
        <f>RawData!A433</f>
        <v>ORD-5432</v>
      </c>
      <c r="B433" s="8">
        <f>RawData!B433</f>
        <v>45270</v>
      </c>
      <c r="C433" s="5" t="str">
        <f>RawData!C433</f>
        <v>C2484</v>
      </c>
      <c r="D433" s="5" t="str">
        <f>VLOOKUP(C433, Customers!A:B,2,FALSE)</f>
        <v/>
      </c>
      <c r="E433" s="5" t="str">
        <f>RawData!D433</f>
        <v>P1043</v>
      </c>
      <c r="G433" s="5" t="str">
        <f t="array" ref="G433">XLOOKUP(E433, Products!A:A, Products!C:C)</f>
        <v>Fashion</v>
      </c>
      <c r="H433" s="5">
        <f>RawData!E433</f>
        <v>7</v>
      </c>
      <c r="I433" s="5">
        <f>RawData!F433</f>
        <v>183.75</v>
      </c>
      <c r="J433" s="5">
        <f>RawData!G433</f>
        <v>1286.25</v>
      </c>
      <c r="K433" s="5" t="str">
        <f>RawData!H433</f>
        <v>North</v>
      </c>
      <c r="L433" s="5" t="str">
        <f t="shared" si="1"/>
        <v>Dec</v>
      </c>
    </row>
    <row r="434">
      <c r="A434" s="5" t="str">
        <f>RawData!A434</f>
        <v>ORD-5433</v>
      </c>
      <c r="B434" s="8">
        <f>RawData!B434</f>
        <v>44716</v>
      </c>
      <c r="C434" s="5" t="str">
        <f>RawData!C434</f>
        <v>C2172</v>
      </c>
      <c r="D434" s="5" t="str">
        <f>VLOOKUP(C434, Customers!A:B,2,FALSE)</f>
        <v/>
      </c>
      <c r="E434" s="5" t="str">
        <f>RawData!D434</f>
        <v>P1029</v>
      </c>
      <c r="G434" s="5" t="str">
        <f t="array" ref="G434">XLOOKUP(E434, Products!A:A, Products!C:C)</f>
        <v>Furniture</v>
      </c>
      <c r="H434" s="5">
        <f>RawData!E434</f>
        <v>4</v>
      </c>
      <c r="I434" s="5">
        <f>RawData!F434</f>
        <v>104.81</v>
      </c>
      <c r="J434" s="5">
        <f>RawData!G434</f>
        <v>419.24</v>
      </c>
      <c r="K434" s="5" t="str">
        <f>RawData!H434</f>
        <v>South</v>
      </c>
      <c r="L434" s="5" t="str">
        <f t="shared" si="1"/>
        <v>Jun</v>
      </c>
    </row>
    <row r="435">
      <c r="A435" s="5" t="str">
        <f>RawData!A435</f>
        <v>ORD-5434</v>
      </c>
      <c r="B435" s="8">
        <f>RawData!B435</f>
        <v>44566</v>
      </c>
      <c r="C435" s="5" t="str">
        <f>RawData!C435</f>
        <v>C2465</v>
      </c>
      <c r="D435" s="5" t="str">
        <f>VLOOKUP(C435, Customers!A:B,2,FALSE)</f>
        <v/>
      </c>
      <c r="E435" s="5" t="str">
        <f>RawData!D435</f>
        <v>P1025</v>
      </c>
      <c r="G435" s="5" t="str">
        <f t="array" ref="G435">XLOOKUP(E435, Products!A:A, Products!C:C)</f>
        <v>Electronics</v>
      </c>
      <c r="H435" s="5">
        <f>RawData!E435</f>
        <v>3</v>
      </c>
      <c r="I435" s="5">
        <f>RawData!F435</f>
        <v>65.45</v>
      </c>
      <c r="J435" s="5">
        <f>RawData!G435</f>
        <v>196.35</v>
      </c>
      <c r="K435" s="5" t="str">
        <f>RawData!H435</f>
        <v>East</v>
      </c>
      <c r="L435" s="5" t="str">
        <f t="shared" si="1"/>
        <v>Jan</v>
      </c>
    </row>
    <row r="436">
      <c r="A436" s="5" t="str">
        <f>RawData!A436</f>
        <v>ORD-5435</v>
      </c>
      <c r="B436" s="8">
        <f>RawData!B436</f>
        <v>45892</v>
      </c>
      <c r="C436" s="5" t="str">
        <f>RawData!C436</f>
        <v>C2407</v>
      </c>
      <c r="D436" s="5" t="str">
        <f>VLOOKUP(C436, Customers!A:B,2,FALSE)</f>
        <v/>
      </c>
      <c r="E436" s="5" t="str">
        <f>RawData!D436</f>
        <v>P1020</v>
      </c>
      <c r="G436" s="5" t="str">
        <f t="array" ref="G436">XLOOKUP(E436, Products!A:A, Products!C:C)</f>
        <v>Furniture</v>
      </c>
      <c r="H436" s="5">
        <f>RawData!E436</f>
        <v>10</v>
      </c>
      <c r="I436" s="5">
        <f>RawData!F436</f>
        <v>94.59</v>
      </c>
      <c r="J436" s="5">
        <f>RawData!G436</f>
        <v>945.9</v>
      </c>
      <c r="K436" s="5" t="str">
        <f>RawData!H436</f>
        <v>West</v>
      </c>
      <c r="L436" s="5" t="str">
        <f t="shared" si="1"/>
        <v>Aug</v>
      </c>
    </row>
    <row r="437">
      <c r="A437" s="5" t="str">
        <f>RawData!A437</f>
        <v>ORD-5436</v>
      </c>
      <c r="B437" s="8">
        <f>RawData!B437</f>
        <v>45991</v>
      </c>
      <c r="C437" s="5" t="str">
        <f>RawData!C437</f>
        <v>C2057</v>
      </c>
      <c r="D437" s="5" t="str">
        <f>VLOOKUP(C437, Customers!A:B,2,FALSE)</f>
        <v/>
      </c>
      <c r="E437" s="5" t="str">
        <f>RawData!D437</f>
        <v>P1029</v>
      </c>
      <c r="G437" s="5" t="str">
        <f t="array" ref="G437">XLOOKUP(E437, Products!A:A, Products!C:C)</f>
        <v>Furniture</v>
      </c>
      <c r="H437" s="5">
        <f>RawData!E437</f>
        <v>8</v>
      </c>
      <c r="I437" s="5">
        <f>RawData!F437</f>
        <v>104.81</v>
      </c>
      <c r="J437" s="5">
        <f>RawData!G437</f>
        <v>838.48</v>
      </c>
      <c r="K437" s="5" t="str">
        <f>RawData!H437</f>
        <v>East</v>
      </c>
      <c r="L437" s="5" t="str">
        <f t="shared" si="1"/>
        <v>Nov</v>
      </c>
    </row>
    <row r="438">
      <c r="A438" s="5" t="str">
        <f>RawData!A438</f>
        <v>ORD-5437</v>
      </c>
      <c r="B438" s="8">
        <f>RawData!B438</f>
        <v>46042</v>
      </c>
      <c r="C438" s="5" t="str">
        <f>RawData!C438</f>
        <v>C2033</v>
      </c>
      <c r="D438" s="5" t="str">
        <f>VLOOKUP(C438, Customers!A:B,2,FALSE)</f>
        <v>Noah Bennett</v>
      </c>
      <c r="E438" s="5" t="str">
        <f>RawData!D438</f>
        <v>P1031</v>
      </c>
      <c r="G438" s="5" t="str">
        <f t="array" ref="G438">XLOOKUP(E438, Products!A:A, Products!C:C)</f>
        <v>Furniture</v>
      </c>
      <c r="H438" s="5">
        <f>RawData!E438</f>
        <v>3</v>
      </c>
      <c r="I438" s="5">
        <f>RawData!F438</f>
        <v>44.18</v>
      </c>
      <c r="J438" s="5">
        <f>RawData!G438</f>
        <v>132.54</v>
      </c>
      <c r="K438" s="5" t="str">
        <f>RawData!H438</f>
        <v>East</v>
      </c>
      <c r="L438" s="5" t="str">
        <f t="shared" si="1"/>
        <v>Jan</v>
      </c>
    </row>
    <row r="439">
      <c r="A439" s="5" t="str">
        <f>RawData!A439</f>
        <v>ORD-5438</v>
      </c>
      <c r="B439" s="8">
        <f>RawData!B439</f>
        <v>45822</v>
      </c>
      <c r="C439" s="5" t="str">
        <f>RawData!C439</f>
        <v>C2266</v>
      </c>
      <c r="D439" s="5" t="str">
        <f>VLOOKUP(C439, Customers!A:B,2,FALSE)</f>
        <v/>
      </c>
      <c r="E439" s="5" t="str">
        <f>RawData!D439</f>
        <v>P1018</v>
      </c>
      <c r="G439" s="5" t="str">
        <f t="array" ref="G439">XLOOKUP(E439, Products!A:A, Products!C:C)</f>
        <v>Electronics</v>
      </c>
      <c r="H439" s="5">
        <f>RawData!E439</f>
        <v>1</v>
      </c>
      <c r="I439" s="5">
        <f>RawData!F439</f>
        <v>131.34</v>
      </c>
      <c r="J439" s="5">
        <f>RawData!G439</f>
        <v>131.34</v>
      </c>
      <c r="K439" s="5" t="str">
        <f>RawData!H439</f>
        <v>North</v>
      </c>
      <c r="L439" s="5" t="str">
        <f t="shared" si="1"/>
        <v>Jun</v>
      </c>
    </row>
    <row r="440">
      <c r="A440" s="5" t="str">
        <f>RawData!A440</f>
        <v>ORD-5439</v>
      </c>
      <c r="B440" s="8">
        <f>RawData!B440</f>
        <v>45975</v>
      </c>
      <c r="C440" s="5" t="str">
        <f>RawData!C440</f>
        <v>C2107</v>
      </c>
      <c r="D440" s="5" t="str">
        <f>VLOOKUP(C440, Customers!A:B,2,FALSE)</f>
        <v/>
      </c>
      <c r="E440" s="5" t="str">
        <f>RawData!D440</f>
        <v>P1001</v>
      </c>
      <c r="G440" s="5" t="str">
        <f t="array" ref="G440">XLOOKUP(E440, Products!A:A, Products!C:C)</f>
        <v>Electronics</v>
      </c>
      <c r="H440" s="5">
        <f>RawData!E440</f>
        <v>10</v>
      </c>
      <c r="I440" s="5">
        <f>RawData!F440</f>
        <v>144.69</v>
      </c>
      <c r="J440" s="5">
        <f>RawData!G440</f>
        <v>1446.9</v>
      </c>
      <c r="K440" s="5" t="str">
        <f>RawData!H440</f>
        <v>South</v>
      </c>
      <c r="L440" s="5" t="str">
        <f t="shared" si="1"/>
        <v>Nov</v>
      </c>
    </row>
    <row r="441">
      <c r="A441" s="5" t="str">
        <f>RawData!A441</f>
        <v>ORD-5440</v>
      </c>
      <c r="B441" s="8">
        <f>RawData!B441</f>
        <v>45308</v>
      </c>
      <c r="C441" s="5" t="str">
        <f>RawData!C441</f>
        <v>C2250</v>
      </c>
      <c r="D441" s="5" t="str">
        <f>VLOOKUP(C441, Customers!A:B,2,FALSE)</f>
        <v/>
      </c>
      <c r="E441" s="5" t="str">
        <f>RawData!D441</f>
        <v>P1021</v>
      </c>
      <c r="G441" s="5" t="str">
        <f t="array" ref="G441">XLOOKUP(E441, Products!A:A, Products!C:C)</f>
        <v>Electronics</v>
      </c>
      <c r="H441" s="5">
        <f>RawData!E441</f>
        <v>5</v>
      </c>
      <c r="I441" s="5">
        <f>RawData!F441</f>
        <v>140.72</v>
      </c>
      <c r="J441" s="5">
        <f>RawData!G441</f>
        <v>703.6</v>
      </c>
      <c r="K441" s="5" t="str">
        <f>RawData!H441</f>
        <v>East</v>
      </c>
      <c r="L441" s="5" t="str">
        <f t="shared" si="1"/>
        <v>Jan</v>
      </c>
    </row>
    <row r="442">
      <c r="A442" s="5" t="str">
        <f>RawData!A442</f>
        <v>ORD-5441</v>
      </c>
      <c r="B442" s="8">
        <f>RawData!B442</f>
        <v>45988</v>
      </c>
      <c r="C442" s="5" t="str">
        <f>RawData!C442</f>
        <v>C2408</v>
      </c>
      <c r="D442" s="5" t="str">
        <f>VLOOKUP(C442, Customers!A:B,2,FALSE)</f>
        <v/>
      </c>
      <c r="E442" s="5" t="str">
        <f>RawData!D442</f>
        <v>P1003</v>
      </c>
      <c r="G442" s="5" t="str">
        <f t="array" ref="G442">XLOOKUP(E442, Products!A:A, Products!C:C)</f>
        <v>Electronics</v>
      </c>
      <c r="H442" s="5">
        <f>RawData!E442</f>
        <v>5</v>
      </c>
      <c r="I442" s="5">
        <f>RawData!F442</f>
        <v>187.26</v>
      </c>
      <c r="J442" s="5">
        <f>RawData!G442</f>
        <v>936.3</v>
      </c>
      <c r="K442" s="5" t="str">
        <f>RawData!H442</f>
        <v>North</v>
      </c>
      <c r="L442" s="5" t="str">
        <f t="shared" si="1"/>
        <v>Nov</v>
      </c>
    </row>
    <row r="443">
      <c r="A443" s="5" t="str">
        <f>RawData!A443</f>
        <v>ORD-5442</v>
      </c>
      <c r="B443" s="8">
        <f>RawData!B443</f>
        <v>45008</v>
      </c>
      <c r="C443" s="5" t="str">
        <f>RawData!C443</f>
        <v>C2344</v>
      </c>
      <c r="D443" s="5" t="str">
        <f>VLOOKUP(C443, Customers!A:B,2,FALSE)</f>
        <v/>
      </c>
      <c r="E443" s="5" t="str">
        <f>RawData!D443</f>
        <v>P1050</v>
      </c>
      <c r="G443" s="5" t="str">
        <f t="array" ref="G443">XLOOKUP(E443, Products!A:A, Products!C:C)</f>
        <v>Electronics</v>
      </c>
      <c r="H443" s="5">
        <f>RawData!E443</f>
        <v>3</v>
      </c>
      <c r="I443" s="5">
        <f>RawData!F443</f>
        <v>161.48</v>
      </c>
      <c r="J443" s="5">
        <f>RawData!G443</f>
        <v>484.44</v>
      </c>
      <c r="K443" s="5" t="str">
        <f>RawData!H443</f>
        <v>South</v>
      </c>
      <c r="L443" s="5" t="str">
        <f t="shared" si="1"/>
        <v>Mar</v>
      </c>
    </row>
    <row r="444">
      <c r="A444" s="5" t="str">
        <f>RawData!A444</f>
        <v>ORD-5443</v>
      </c>
      <c r="B444" s="8">
        <f>RawData!B444</f>
        <v>44765</v>
      </c>
      <c r="C444" s="5" t="str">
        <f>RawData!C444</f>
        <v>C2096</v>
      </c>
      <c r="D444" s="5" t="str">
        <f>VLOOKUP(C444, Customers!A:B,2,FALSE)</f>
        <v/>
      </c>
      <c r="E444" s="5" t="str">
        <f>RawData!D444</f>
        <v>P1024</v>
      </c>
      <c r="G444" s="5" t="str">
        <f t="array" ref="G444">XLOOKUP(E444, Products!A:A, Products!C:C)</f>
        <v>Electronics</v>
      </c>
      <c r="H444" s="5">
        <f>RawData!E444</f>
        <v>5</v>
      </c>
      <c r="I444" s="5">
        <f>RawData!F444</f>
        <v>122.33</v>
      </c>
      <c r="J444" s="5">
        <f>RawData!G444</f>
        <v>611.65</v>
      </c>
      <c r="K444" s="5" t="str">
        <f>RawData!H444</f>
        <v>East</v>
      </c>
      <c r="L444" s="5" t="str">
        <f t="shared" si="1"/>
        <v>Jul</v>
      </c>
    </row>
    <row r="445">
      <c r="A445" s="5" t="str">
        <f>RawData!A445</f>
        <v>ORD-5444</v>
      </c>
      <c r="B445" s="8">
        <f>RawData!B445</f>
        <v>44764</v>
      </c>
      <c r="C445" s="5" t="str">
        <f>RawData!C445</f>
        <v>C2281</v>
      </c>
      <c r="D445" s="5" t="str">
        <f>VLOOKUP(C445, Customers!A:B,2,FALSE)</f>
        <v/>
      </c>
      <c r="E445" s="5" t="str">
        <f>RawData!D445</f>
        <v>P1002</v>
      </c>
      <c r="G445" s="5" t="str">
        <f t="array" ref="G445">XLOOKUP(E445, Products!A:A, Products!C:C)</f>
        <v>Furniture</v>
      </c>
      <c r="H445" s="5">
        <f>RawData!E445</f>
        <v>5</v>
      </c>
      <c r="I445" s="5">
        <f>RawData!F445</f>
        <v>109.31</v>
      </c>
      <c r="J445" s="5">
        <f>RawData!G445</f>
        <v>546.55</v>
      </c>
      <c r="K445" s="5" t="str">
        <f>RawData!H445</f>
        <v>West</v>
      </c>
      <c r="L445" s="5" t="str">
        <f t="shared" si="1"/>
        <v>Jul</v>
      </c>
    </row>
    <row r="446">
      <c r="A446" s="5" t="str">
        <f>RawData!A446</f>
        <v>ORD-5445</v>
      </c>
      <c r="B446" s="8">
        <f>RawData!B446</f>
        <v>45566</v>
      </c>
      <c r="C446" s="5" t="str">
        <f>RawData!C446</f>
        <v>C2263</v>
      </c>
      <c r="D446" s="5" t="str">
        <f>VLOOKUP(C446, Customers!A:B,2,FALSE)</f>
        <v/>
      </c>
      <c r="E446" s="5" t="str">
        <f>RawData!D446</f>
        <v>P1026</v>
      </c>
      <c r="G446" s="5" t="str">
        <f t="array" ref="G446">XLOOKUP(E446, Products!A:A, Products!C:C)</f>
        <v>Home</v>
      </c>
      <c r="H446" s="5">
        <f>RawData!E446</f>
        <v>6</v>
      </c>
      <c r="I446" s="5">
        <f>RawData!F446</f>
        <v>128.23</v>
      </c>
      <c r="J446" s="5">
        <f>RawData!G446</f>
        <v>769.38</v>
      </c>
      <c r="K446" s="5" t="str">
        <f>RawData!H446</f>
        <v>South</v>
      </c>
      <c r="L446" s="5" t="str">
        <f t="shared" si="1"/>
        <v>Oct</v>
      </c>
    </row>
    <row r="447">
      <c r="A447" s="5" t="str">
        <f>RawData!A447</f>
        <v>ORD-5446</v>
      </c>
      <c r="B447" s="8">
        <f>RawData!B447</f>
        <v>45886</v>
      </c>
      <c r="C447" s="5" t="str">
        <f>RawData!C447</f>
        <v>C2443</v>
      </c>
      <c r="D447" s="5" t="str">
        <f>VLOOKUP(C447, Customers!A:B,2,FALSE)</f>
        <v/>
      </c>
      <c r="E447" s="5" t="str">
        <f>RawData!D447</f>
        <v>P1047</v>
      </c>
      <c r="G447" s="5" t="str">
        <f t="array" ref="G447">XLOOKUP(E447, Products!A:A, Products!C:C)</f>
        <v>Electronics</v>
      </c>
      <c r="H447" s="5">
        <f>RawData!E447</f>
        <v>7</v>
      </c>
      <c r="I447" s="5">
        <f>RawData!F447</f>
        <v>73.45</v>
      </c>
      <c r="J447" s="5">
        <f>RawData!G447</f>
        <v>514.15</v>
      </c>
      <c r="K447" s="5" t="str">
        <f>RawData!H447</f>
        <v>West</v>
      </c>
      <c r="L447" s="5" t="str">
        <f t="shared" si="1"/>
        <v>Aug</v>
      </c>
    </row>
    <row r="448">
      <c r="A448" s="5" t="str">
        <f>RawData!A448</f>
        <v>ORD-5447</v>
      </c>
      <c r="B448" s="8">
        <f>RawData!B448</f>
        <v>45707</v>
      </c>
      <c r="C448" s="5" t="str">
        <f>RawData!C448</f>
        <v>C2311</v>
      </c>
      <c r="D448" s="5" t="str">
        <f>VLOOKUP(C448, Customers!A:B,2,FALSE)</f>
        <v/>
      </c>
      <c r="E448" s="5" t="str">
        <f>RawData!D448</f>
        <v>P1027</v>
      </c>
      <c r="G448" s="5" t="str">
        <f t="array" ref="G448">XLOOKUP(E448, Products!A:A, Products!C:C)</f>
        <v>Fashion</v>
      </c>
      <c r="H448" s="5">
        <f>RawData!E448</f>
        <v>3</v>
      </c>
      <c r="I448" s="5">
        <f>RawData!F448</f>
        <v>152.99</v>
      </c>
      <c r="J448" s="5">
        <f>RawData!G448</f>
        <v>458.97</v>
      </c>
      <c r="K448" s="5" t="str">
        <f>RawData!H448</f>
        <v>East</v>
      </c>
      <c r="L448" s="5" t="str">
        <f t="shared" si="1"/>
        <v>Feb</v>
      </c>
    </row>
    <row r="449">
      <c r="A449" s="5" t="str">
        <f>RawData!A449</f>
        <v>ORD-5448</v>
      </c>
      <c r="B449" s="8">
        <f>RawData!B449</f>
        <v>45404</v>
      </c>
      <c r="C449" s="5" t="str">
        <f>RawData!C449</f>
        <v>C2294</v>
      </c>
      <c r="D449" s="5" t="str">
        <f>VLOOKUP(C449, Customers!A:B,2,FALSE)</f>
        <v/>
      </c>
      <c r="E449" s="5" t="str">
        <f>RawData!D449</f>
        <v>P1043</v>
      </c>
      <c r="G449" s="5" t="str">
        <f t="array" ref="G449">XLOOKUP(E449, Products!A:A, Products!C:C)</f>
        <v>Fashion</v>
      </c>
      <c r="H449" s="5">
        <f>RawData!E449</f>
        <v>8</v>
      </c>
      <c r="I449" s="5">
        <f>RawData!F449</f>
        <v>183.75</v>
      </c>
      <c r="J449" s="5">
        <f>RawData!G449</f>
        <v>1470</v>
      </c>
      <c r="K449" s="5" t="str">
        <f>RawData!H449</f>
        <v>West</v>
      </c>
      <c r="L449" s="5" t="str">
        <f t="shared" si="1"/>
        <v>Apr</v>
      </c>
    </row>
    <row r="450">
      <c r="A450" s="5" t="str">
        <f>RawData!A450</f>
        <v>ORD-5449</v>
      </c>
      <c r="B450" s="8">
        <f>RawData!B450</f>
        <v>45656</v>
      </c>
      <c r="C450" s="5" t="str">
        <f>RawData!C450</f>
        <v>C2092</v>
      </c>
      <c r="D450" s="5" t="str">
        <f>VLOOKUP(C450, Customers!A:B,2,FALSE)</f>
        <v/>
      </c>
      <c r="E450" s="5" t="str">
        <f>RawData!D450</f>
        <v>P1043</v>
      </c>
      <c r="G450" s="5" t="str">
        <f t="array" ref="G450">XLOOKUP(E450, Products!A:A, Products!C:C)</f>
        <v>Fashion</v>
      </c>
      <c r="H450" s="5">
        <f>RawData!E450</f>
        <v>10</v>
      </c>
      <c r="I450" s="5">
        <f>RawData!F450</f>
        <v>183.75</v>
      </c>
      <c r="J450" s="5">
        <f>RawData!G450</f>
        <v>1837.5</v>
      </c>
      <c r="K450" s="5" t="str">
        <f>RawData!H450</f>
        <v>North</v>
      </c>
      <c r="L450" s="5" t="str">
        <f t="shared" si="1"/>
        <v>Dec</v>
      </c>
    </row>
    <row r="451">
      <c r="A451" s="5" t="str">
        <f>RawData!A451</f>
        <v>ORD-5450</v>
      </c>
      <c r="B451" s="8">
        <f>RawData!B451</f>
        <v>46079</v>
      </c>
      <c r="C451" s="5" t="str">
        <f>RawData!C451</f>
        <v>C2432</v>
      </c>
      <c r="D451" s="5" t="str">
        <f>VLOOKUP(C451, Customers!A:B,2,FALSE)</f>
        <v/>
      </c>
      <c r="E451" s="5" t="str">
        <f>RawData!D451</f>
        <v>P1026</v>
      </c>
      <c r="G451" s="5" t="str">
        <f t="array" ref="G451">XLOOKUP(E451, Products!A:A, Products!C:C)</f>
        <v>Home</v>
      </c>
      <c r="H451" s="5">
        <f>RawData!E451</f>
        <v>8</v>
      </c>
      <c r="I451" s="5">
        <f>RawData!F451</f>
        <v>128.23</v>
      </c>
      <c r="J451" s="5">
        <f>RawData!G451</f>
        <v>1025.84</v>
      </c>
      <c r="K451" s="5" t="str">
        <f>RawData!H451</f>
        <v>South</v>
      </c>
      <c r="L451" s="5" t="str">
        <f t="shared" si="1"/>
        <v>Feb</v>
      </c>
    </row>
    <row r="452">
      <c r="A452" s="5" t="str">
        <f>RawData!A452</f>
        <v>ORD-5451</v>
      </c>
      <c r="B452" s="8">
        <f>RawData!B452</f>
        <v>44812</v>
      </c>
      <c r="C452" s="5" t="str">
        <f>RawData!C452</f>
        <v>C2439</v>
      </c>
      <c r="D452" s="5" t="str">
        <f>VLOOKUP(C452, Customers!A:B,2,FALSE)</f>
        <v/>
      </c>
      <c r="E452" s="5" t="str">
        <f>RawData!D452</f>
        <v>P1019</v>
      </c>
      <c r="G452" s="5" t="str">
        <f t="array" ref="G452">XLOOKUP(E452, Products!A:A, Products!C:C)</f>
        <v>Electronics</v>
      </c>
      <c r="H452" s="5">
        <f>RawData!E452</f>
        <v>5</v>
      </c>
      <c r="I452" s="5">
        <f>RawData!F452</f>
        <v>193.29</v>
      </c>
      <c r="J452" s="5">
        <f>RawData!G452</f>
        <v>966.45</v>
      </c>
      <c r="K452" s="5" t="str">
        <f>RawData!H452</f>
        <v>East</v>
      </c>
      <c r="L452" s="5" t="str">
        <f t="shared" si="1"/>
        <v>Sep</v>
      </c>
    </row>
    <row r="453">
      <c r="A453" s="5" t="str">
        <f>RawData!A453</f>
        <v>ORD-5452</v>
      </c>
      <c r="B453" s="8">
        <f>RawData!B453</f>
        <v>45774</v>
      </c>
      <c r="C453" s="5" t="str">
        <f>RawData!C453</f>
        <v>C2135</v>
      </c>
      <c r="D453" s="5" t="str">
        <f>VLOOKUP(C453, Customers!A:B,2,FALSE)</f>
        <v/>
      </c>
      <c r="E453" s="5" t="str">
        <f>RawData!D453</f>
        <v>P1048</v>
      </c>
      <c r="G453" s="5" t="str">
        <f t="array" ref="G453">XLOOKUP(E453, Products!A:A, Products!C:C)</f>
        <v>Accessories</v>
      </c>
      <c r="H453" s="5">
        <f>RawData!E453</f>
        <v>2</v>
      </c>
      <c r="I453" s="5">
        <f>RawData!F453</f>
        <v>174.29</v>
      </c>
      <c r="J453" s="5">
        <f>RawData!G453</f>
        <v>348.58</v>
      </c>
      <c r="K453" s="5" t="str">
        <f>RawData!H453</f>
        <v>East</v>
      </c>
      <c r="L453" s="5" t="str">
        <f t="shared" si="1"/>
        <v>Apr</v>
      </c>
    </row>
    <row r="454">
      <c r="A454" s="5" t="str">
        <f>RawData!A454</f>
        <v>ORD-5453</v>
      </c>
      <c r="B454" s="8">
        <f>RawData!B454</f>
        <v>44963</v>
      </c>
      <c r="C454" s="5" t="str">
        <f>RawData!C454</f>
        <v>C2343</v>
      </c>
      <c r="D454" s="5" t="str">
        <f>VLOOKUP(C454, Customers!A:B,2,FALSE)</f>
        <v/>
      </c>
      <c r="E454" s="5" t="str">
        <f>RawData!D454</f>
        <v>P1029</v>
      </c>
      <c r="G454" s="5" t="str">
        <f t="array" ref="G454">XLOOKUP(E454, Products!A:A, Products!C:C)</f>
        <v>Furniture</v>
      </c>
      <c r="H454" s="5">
        <f>RawData!E454</f>
        <v>10</v>
      </c>
      <c r="I454" s="5">
        <f>RawData!F454</f>
        <v>104.81</v>
      </c>
      <c r="J454" s="5">
        <f>RawData!G454</f>
        <v>1048.1</v>
      </c>
      <c r="K454" s="5" t="str">
        <f>RawData!H454</f>
        <v>East</v>
      </c>
      <c r="L454" s="5" t="str">
        <f t="shared" si="1"/>
        <v>Feb</v>
      </c>
    </row>
    <row r="455">
      <c r="A455" s="5" t="str">
        <f>RawData!A455</f>
        <v>ORD-5454</v>
      </c>
      <c r="B455" s="8">
        <f>RawData!B455</f>
        <v>45502</v>
      </c>
      <c r="C455" s="5" t="str">
        <f>RawData!C455</f>
        <v>C2291</v>
      </c>
      <c r="D455" s="5" t="str">
        <f>VLOOKUP(C455, Customers!A:B,2,FALSE)</f>
        <v/>
      </c>
      <c r="E455" s="5" t="str">
        <f>RawData!D455</f>
        <v>P1012</v>
      </c>
      <c r="G455" s="5" t="str">
        <f t="array" ref="G455">XLOOKUP(E455, Products!A:A, Products!C:C)</f>
        <v>Electronics</v>
      </c>
      <c r="H455" s="5">
        <f>RawData!E455</f>
        <v>5</v>
      </c>
      <c r="I455" s="5">
        <f>RawData!F455</f>
        <v>143.99</v>
      </c>
      <c r="J455" s="5">
        <f>RawData!G455</f>
        <v>719.95</v>
      </c>
      <c r="K455" s="5" t="str">
        <f>RawData!H455</f>
        <v>South</v>
      </c>
      <c r="L455" s="5" t="str">
        <f t="shared" si="1"/>
        <v>Jul</v>
      </c>
    </row>
    <row r="456">
      <c r="A456" s="5" t="str">
        <f>RawData!A456</f>
        <v>ORD-5455</v>
      </c>
      <c r="B456" s="8">
        <f>RawData!B456</f>
        <v>45224</v>
      </c>
      <c r="C456" s="5" t="str">
        <f>RawData!C456</f>
        <v>C2320</v>
      </c>
      <c r="D456" s="5" t="str">
        <f>VLOOKUP(C456, Customers!A:B,2,FALSE)</f>
        <v/>
      </c>
      <c r="E456" s="5" t="str">
        <f>RawData!D456</f>
        <v>P1031</v>
      </c>
      <c r="G456" s="5" t="str">
        <f t="array" ref="G456">XLOOKUP(E456, Products!A:A, Products!C:C)</f>
        <v>Furniture</v>
      </c>
      <c r="H456" s="5">
        <f>RawData!E456</f>
        <v>6</v>
      </c>
      <c r="I456" s="5">
        <f>RawData!F456</f>
        <v>44.18</v>
      </c>
      <c r="J456" s="5">
        <f>RawData!G456</f>
        <v>265.08</v>
      </c>
      <c r="K456" s="5" t="str">
        <f>RawData!H456</f>
        <v>West</v>
      </c>
      <c r="L456" s="5" t="str">
        <f t="shared" si="1"/>
        <v>Oct</v>
      </c>
    </row>
    <row r="457">
      <c r="A457" s="5" t="str">
        <f>RawData!A457</f>
        <v>ORD-5456</v>
      </c>
      <c r="B457" s="8">
        <f>RawData!B457</f>
        <v>45736</v>
      </c>
      <c r="C457" s="5" t="str">
        <f>RawData!C457</f>
        <v>C2397</v>
      </c>
      <c r="D457" s="5" t="str">
        <f>VLOOKUP(C457, Customers!A:B,2,FALSE)</f>
        <v/>
      </c>
      <c r="E457" s="5" t="str">
        <f>RawData!D457</f>
        <v>P1031</v>
      </c>
      <c r="G457" s="5" t="str">
        <f t="array" ref="G457">XLOOKUP(E457, Products!A:A, Products!C:C)</f>
        <v>Furniture</v>
      </c>
      <c r="H457" s="5">
        <f>RawData!E457</f>
        <v>8</v>
      </c>
      <c r="I457" s="5">
        <f>RawData!F457</f>
        <v>44.18</v>
      </c>
      <c r="J457" s="5">
        <f>RawData!G457</f>
        <v>353.44</v>
      </c>
      <c r="K457" s="5" t="str">
        <f>RawData!H457</f>
        <v>North</v>
      </c>
      <c r="L457" s="5" t="str">
        <f t="shared" si="1"/>
        <v>Mar</v>
      </c>
    </row>
    <row r="458">
      <c r="A458" s="5" t="str">
        <f>RawData!A458</f>
        <v>ORD-5457</v>
      </c>
      <c r="B458" s="8">
        <f>RawData!B458</f>
        <v>45613</v>
      </c>
      <c r="C458" s="5" t="str">
        <f>RawData!C458</f>
        <v>C2257</v>
      </c>
      <c r="D458" s="5" t="str">
        <f>VLOOKUP(C458, Customers!A:B,2,FALSE)</f>
        <v/>
      </c>
      <c r="E458" s="5" t="str">
        <f>RawData!D458</f>
        <v>P1031</v>
      </c>
      <c r="G458" s="5" t="str">
        <f t="array" ref="G458">XLOOKUP(E458, Products!A:A, Products!C:C)</f>
        <v>Furniture</v>
      </c>
      <c r="H458" s="5">
        <f>RawData!E458</f>
        <v>6</v>
      </c>
      <c r="I458" s="5">
        <f>RawData!F458</f>
        <v>44.18</v>
      </c>
      <c r="J458" s="5">
        <f>RawData!G458</f>
        <v>265.08</v>
      </c>
      <c r="K458" s="5" t="str">
        <f>RawData!H458</f>
        <v>North</v>
      </c>
      <c r="L458" s="5" t="str">
        <f t="shared" si="1"/>
        <v>Nov</v>
      </c>
    </row>
    <row r="459">
      <c r="A459" s="5" t="str">
        <f>RawData!A459</f>
        <v>ORD-5458</v>
      </c>
      <c r="B459" s="8">
        <f>RawData!B459</f>
        <v>45311</v>
      </c>
      <c r="C459" s="5" t="str">
        <f>RawData!C459</f>
        <v>C2422</v>
      </c>
      <c r="D459" s="5" t="str">
        <f>VLOOKUP(C459, Customers!A:B,2,FALSE)</f>
        <v/>
      </c>
      <c r="E459" s="5" t="str">
        <f>RawData!D459</f>
        <v>P1029</v>
      </c>
      <c r="G459" s="5" t="str">
        <f t="array" ref="G459">XLOOKUP(E459, Products!A:A, Products!C:C)</f>
        <v>Furniture</v>
      </c>
      <c r="H459" s="5">
        <f>RawData!E459</f>
        <v>1</v>
      </c>
      <c r="I459" s="5">
        <f>RawData!F459</f>
        <v>104.81</v>
      </c>
      <c r="J459" s="5">
        <f>RawData!G459</f>
        <v>104.81</v>
      </c>
      <c r="K459" s="5" t="str">
        <f>RawData!H459</f>
        <v>West</v>
      </c>
      <c r="L459" s="5" t="str">
        <f t="shared" si="1"/>
        <v>Jan</v>
      </c>
    </row>
    <row r="460">
      <c r="A460" s="5" t="str">
        <f>RawData!A460</f>
        <v>ORD-5459</v>
      </c>
      <c r="B460" s="8">
        <f>RawData!B460</f>
        <v>45994</v>
      </c>
      <c r="C460" s="5" t="str">
        <f>RawData!C460</f>
        <v>C2437</v>
      </c>
      <c r="D460" s="5" t="str">
        <f>VLOOKUP(C460, Customers!A:B,2,FALSE)</f>
        <v/>
      </c>
      <c r="E460" s="5" t="str">
        <f>RawData!D460</f>
        <v>P1028</v>
      </c>
      <c r="G460" s="5" t="str">
        <f t="array" ref="G460">XLOOKUP(E460, Products!A:A, Products!C:C)</f>
        <v>Furniture</v>
      </c>
      <c r="H460" s="5">
        <f>RawData!E460</f>
        <v>4</v>
      </c>
      <c r="I460" s="5">
        <f>RawData!F460</f>
        <v>82.34</v>
      </c>
      <c r="J460" s="5">
        <f>RawData!G460</f>
        <v>329.36</v>
      </c>
      <c r="K460" s="5" t="str">
        <f>RawData!H460</f>
        <v>North</v>
      </c>
      <c r="L460" s="5" t="str">
        <f t="shared" si="1"/>
        <v>Dec</v>
      </c>
    </row>
    <row r="461">
      <c r="A461" s="5" t="str">
        <f>RawData!A461</f>
        <v>ORD-5460</v>
      </c>
      <c r="B461" s="8">
        <f>RawData!B461</f>
        <v>45782</v>
      </c>
      <c r="C461" s="5" t="str">
        <f>RawData!C461</f>
        <v>C2264</v>
      </c>
      <c r="D461" s="5" t="str">
        <f>VLOOKUP(C461, Customers!A:B,2,FALSE)</f>
        <v/>
      </c>
      <c r="E461" s="5" t="str">
        <f>RawData!D461</f>
        <v>P1009</v>
      </c>
      <c r="G461" s="5" t="str">
        <f t="array" ref="G461">XLOOKUP(E461, Products!A:A, Products!C:C)</f>
        <v>Electronics</v>
      </c>
      <c r="H461" s="5">
        <f>RawData!E461</f>
        <v>1</v>
      </c>
      <c r="I461" s="5">
        <f>RawData!F461</f>
        <v>74.83</v>
      </c>
      <c r="J461" s="5">
        <f>RawData!G461</f>
        <v>74.83</v>
      </c>
      <c r="K461" s="5" t="str">
        <f>RawData!H461</f>
        <v>North</v>
      </c>
      <c r="L461" s="5" t="str">
        <f t="shared" si="1"/>
        <v>May</v>
      </c>
    </row>
    <row r="462">
      <c r="A462" s="5" t="str">
        <f>RawData!A462</f>
        <v>ORD-5461</v>
      </c>
      <c r="B462" s="8">
        <f>RawData!B462</f>
        <v>44908</v>
      </c>
      <c r="C462" s="5" t="str">
        <f>RawData!C462</f>
        <v>C2426</v>
      </c>
      <c r="D462" s="5" t="str">
        <f>VLOOKUP(C462, Customers!A:B,2,FALSE)</f>
        <v/>
      </c>
      <c r="E462" s="5" t="str">
        <f>RawData!D462</f>
        <v>P1026</v>
      </c>
      <c r="G462" s="5" t="str">
        <f t="array" ref="G462">XLOOKUP(E462, Products!A:A, Products!C:C)</f>
        <v>Home</v>
      </c>
      <c r="H462" s="5">
        <f>RawData!E462</f>
        <v>1</v>
      </c>
      <c r="I462" s="5">
        <f>RawData!F462</f>
        <v>128.23</v>
      </c>
      <c r="J462" s="5">
        <f>RawData!G462</f>
        <v>128.23</v>
      </c>
      <c r="K462" s="5" t="str">
        <f>RawData!H462</f>
        <v>North</v>
      </c>
      <c r="L462" s="5" t="str">
        <f t="shared" si="1"/>
        <v>Dec</v>
      </c>
    </row>
    <row r="463">
      <c r="A463" s="5" t="str">
        <f>RawData!A463</f>
        <v>ORD-5462</v>
      </c>
      <c r="B463" s="8">
        <f>RawData!B463</f>
        <v>44788</v>
      </c>
      <c r="C463" s="5" t="str">
        <f>RawData!C463</f>
        <v>C2122</v>
      </c>
      <c r="D463" s="5" t="str">
        <f>VLOOKUP(C463, Customers!A:B,2,FALSE)</f>
        <v/>
      </c>
      <c r="E463" s="5" t="str">
        <f>RawData!D463</f>
        <v>P1040</v>
      </c>
      <c r="G463" s="5" t="str">
        <f t="array" ref="G463">XLOOKUP(E463, Products!A:A, Products!C:C)</f>
        <v>Furniture</v>
      </c>
      <c r="H463" s="5">
        <f>RawData!E463</f>
        <v>3</v>
      </c>
      <c r="I463" s="5">
        <f>RawData!F463</f>
        <v>161.81</v>
      </c>
      <c r="J463" s="5">
        <f>RawData!G463</f>
        <v>485.43</v>
      </c>
      <c r="K463" s="5" t="str">
        <f>RawData!H463</f>
        <v>South</v>
      </c>
      <c r="L463" s="5" t="str">
        <f t="shared" si="1"/>
        <v>Aug</v>
      </c>
    </row>
    <row r="464">
      <c r="A464" s="5" t="str">
        <f>RawData!A464</f>
        <v>ORD-5463</v>
      </c>
      <c r="B464" s="8">
        <f>RawData!B464</f>
        <v>45080</v>
      </c>
      <c r="C464" s="5" t="str">
        <f>RawData!C464</f>
        <v>C2370</v>
      </c>
      <c r="D464" s="5" t="str">
        <f>VLOOKUP(C464, Customers!A:B,2,FALSE)</f>
        <v/>
      </c>
      <c r="E464" s="5" t="str">
        <f>RawData!D464</f>
        <v>P1011</v>
      </c>
      <c r="G464" s="5" t="str">
        <f t="array" ref="G464">XLOOKUP(E464, Products!A:A, Products!C:C)</f>
        <v>Home</v>
      </c>
      <c r="H464" s="5">
        <f>RawData!E464</f>
        <v>1</v>
      </c>
      <c r="I464" s="5">
        <f>RawData!F464</f>
        <v>114.21</v>
      </c>
      <c r="J464" s="5">
        <f>RawData!G464</f>
        <v>114.21</v>
      </c>
      <c r="K464" s="5" t="str">
        <f>RawData!H464</f>
        <v>West</v>
      </c>
      <c r="L464" s="5" t="str">
        <f t="shared" si="1"/>
        <v>Jun</v>
      </c>
    </row>
    <row r="465">
      <c r="A465" s="5" t="str">
        <f>RawData!A465</f>
        <v>ORD-5464</v>
      </c>
      <c r="B465" s="8">
        <f>RawData!B465</f>
        <v>45610</v>
      </c>
      <c r="C465" s="5" t="str">
        <f>RawData!C465</f>
        <v>C2415</v>
      </c>
      <c r="D465" s="5" t="str">
        <f>VLOOKUP(C465, Customers!A:B,2,FALSE)</f>
        <v/>
      </c>
      <c r="E465" s="5" t="str">
        <f>RawData!D465</f>
        <v>P1043</v>
      </c>
      <c r="G465" s="5" t="str">
        <f t="array" ref="G465">XLOOKUP(E465, Products!A:A, Products!C:C)</f>
        <v>Fashion</v>
      </c>
      <c r="H465" s="5">
        <f>RawData!E465</f>
        <v>1</v>
      </c>
      <c r="I465" s="5">
        <f>RawData!F465</f>
        <v>183.75</v>
      </c>
      <c r="J465" s="5">
        <f>RawData!G465</f>
        <v>183.75</v>
      </c>
      <c r="K465" s="5" t="str">
        <f>RawData!H465</f>
        <v>South</v>
      </c>
      <c r="L465" s="5" t="str">
        <f t="shared" si="1"/>
        <v>Nov</v>
      </c>
    </row>
    <row r="466">
      <c r="A466" s="5" t="str">
        <f>RawData!A466</f>
        <v>ORD-5465</v>
      </c>
      <c r="B466" s="8">
        <f>RawData!B466</f>
        <v>45931</v>
      </c>
      <c r="C466" s="5" t="str">
        <f>RawData!C466</f>
        <v>C2452</v>
      </c>
      <c r="D466" s="5" t="str">
        <f>VLOOKUP(C466, Customers!A:B,2,FALSE)</f>
        <v/>
      </c>
      <c r="E466" s="5" t="str">
        <f>RawData!D466</f>
        <v>P1022</v>
      </c>
      <c r="G466" s="5" t="str">
        <f t="array" ref="G466">XLOOKUP(E466, Products!A:A, Products!C:C)</f>
        <v>Accessories</v>
      </c>
      <c r="H466" s="5">
        <f>RawData!E466</f>
        <v>8</v>
      </c>
      <c r="I466" s="5">
        <f>RawData!F466</f>
        <v>164.53</v>
      </c>
      <c r="J466" s="5">
        <f>RawData!G466</f>
        <v>1316.24</v>
      </c>
      <c r="K466" s="5" t="str">
        <f>RawData!H466</f>
        <v>North</v>
      </c>
      <c r="L466" s="5" t="str">
        <f t="shared" si="1"/>
        <v>Oct</v>
      </c>
    </row>
    <row r="467">
      <c r="A467" s="5" t="str">
        <f>RawData!A467</f>
        <v>ORD-5466</v>
      </c>
      <c r="B467" s="8">
        <f>RawData!B467</f>
        <v>44998</v>
      </c>
      <c r="C467" s="5" t="str">
        <f>RawData!C467</f>
        <v>C2480</v>
      </c>
      <c r="D467" s="5" t="str">
        <f>VLOOKUP(C467, Customers!A:B,2,FALSE)</f>
        <v/>
      </c>
      <c r="E467" s="5" t="str">
        <f>RawData!D467</f>
        <v>P1019</v>
      </c>
      <c r="G467" s="5" t="str">
        <f t="array" ref="G467">XLOOKUP(E467, Products!A:A, Products!C:C)</f>
        <v>Electronics</v>
      </c>
      <c r="H467" s="5">
        <f>RawData!E467</f>
        <v>1</v>
      </c>
      <c r="I467" s="5">
        <f>RawData!F467</f>
        <v>193.29</v>
      </c>
      <c r="J467" s="5">
        <f>RawData!G467</f>
        <v>193.29</v>
      </c>
      <c r="K467" s="5" t="str">
        <f>RawData!H467</f>
        <v>East</v>
      </c>
      <c r="L467" s="5" t="str">
        <f t="shared" si="1"/>
        <v>Mar</v>
      </c>
    </row>
    <row r="468">
      <c r="A468" s="5" t="str">
        <f>RawData!A468</f>
        <v>ORD-5467</v>
      </c>
      <c r="B468" s="8">
        <f>RawData!B468</f>
        <v>45489</v>
      </c>
      <c r="C468" s="5" t="str">
        <f>RawData!C468</f>
        <v>C2195</v>
      </c>
      <c r="D468" s="5" t="str">
        <f>VLOOKUP(C468, Customers!A:B,2,FALSE)</f>
        <v/>
      </c>
      <c r="E468" s="5" t="str">
        <f>RawData!D468</f>
        <v>P1047</v>
      </c>
      <c r="G468" s="5" t="str">
        <f t="array" ref="G468">XLOOKUP(E468, Products!A:A, Products!C:C)</f>
        <v>Electronics</v>
      </c>
      <c r="H468" s="5">
        <f>RawData!E468</f>
        <v>7</v>
      </c>
      <c r="I468" s="5">
        <f>RawData!F468</f>
        <v>73.45</v>
      </c>
      <c r="J468" s="5">
        <f>RawData!G468</f>
        <v>514.15</v>
      </c>
      <c r="K468" s="5" t="str">
        <f>RawData!H468</f>
        <v>East</v>
      </c>
      <c r="L468" s="5" t="str">
        <f t="shared" si="1"/>
        <v>Jul</v>
      </c>
    </row>
    <row r="469">
      <c r="A469" s="5" t="str">
        <f>RawData!A469</f>
        <v>ORD-5468</v>
      </c>
      <c r="B469" s="8">
        <f>RawData!B469</f>
        <v>45175</v>
      </c>
      <c r="C469" s="5" t="str">
        <f>RawData!C469</f>
        <v>C2193</v>
      </c>
      <c r="D469" s="5" t="str">
        <f>VLOOKUP(C469, Customers!A:B,2,FALSE)</f>
        <v/>
      </c>
      <c r="E469" s="5" t="str">
        <f>RawData!D469</f>
        <v>P1034</v>
      </c>
      <c r="G469" s="5" t="str">
        <f t="array" ref="G469">XLOOKUP(E469, Products!A:A, Products!C:C)</f>
        <v>Electronics</v>
      </c>
      <c r="H469" s="5">
        <f>RawData!E469</f>
        <v>10</v>
      </c>
      <c r="I469" s="5">
        <f>RawData!F469</f>
        <v>191.23</v>
      </c>
      <c r="J469" s="5">
        <f>RawData!G469</f>
        <v>1912.3</v>
      </c>
      <c r="K469" s="5" t="str">
        <f>RawData!H469</f>
        <v>South</v>
      </c>
      <c r="L469" s="5" t="str">
        <f t="shared" si="1"/>
        <v>Sep</v>
      </c>
    </row>
    <row r="470">
      <c r="A470" s="5" t="str">
        <f>RawData!A470</f>
        <v>ORD-5469</v>
      </c>
      <c r="B470" s="8">
        <f>RawData!B470</f>
        <v>44742</v>
      </c>
      <c r="C470" s="5" t="str">
        <f>RawData!C470</f>
        <v>C2032</v>
      </c>
      <c r="D470" s="5" t="str">
        <f>VLOOKUP(C470, Customers!A:B,2,FALSE)</f>
        <v/>
      </c>
      <c r="E470" s="5" t="str">
        <f>RawData!D470</f>
        <v>P1031</v>
      </c>
      <c r="G470" s="5" t="str">
        <f t="array" ref="G470">XLOOKUP(E470, Products!A:A, Products!C:C)</f>
        <v>Furniture</v>
      </c>
      <c r="H470" s="5">
        <f>RawData!E470</f>
        <v>7</v>
      </c>
      <c r="I470" s="5">
        <f>RawData!F470</f>
        <v>44.18</v>
      </c>
      <c r="J470" s="5">
        <f>RawData!G470</f>
        <v>309.26</v>
      </c>
      <c r="K470" s="5" t="str">
        <f>RawData!H470</f>
        <v>South</v>
      </c>
      <c r="L470" s="5" t="str">
        <f t="shared" si="1"/>
        <v>Jun</v>
      </c>
    </row>
    <row r="471">
      <c r="A471" s="5" t="str">
        <f>RawData!A471</f>
        <v>ORD-5470</v>
      </c>
      <c r="B471" s="8">
        <f>RawData!B471</f>
        <v>44908</v>
      </c>
      <c r="C471" s="5" t="str">
        <f>RawData!C471</f>
        <v>C2361</v>
      </c>
      <c r="D471" s="5" t="str">
        <f>VLOOKUP(C471, Customers!A:B,2,FALSE)</f>
        <v/>
      </c>
      <c r="E471" s="5" t="str">
        <f>RawData!D471</f>
        <v>P1039</v>
      </c>
      <c r="G471" s="5" t="str">
        <f t="array" ref="G471">XLOOKUP(E471, Products!A:A, Products!C:C)</f>
        <v>Electronics</v>
      </c>
      <c r="H471" s="5">
        <f>RawData!E471</f>
        <v>3</v>
      </c>
      <c r="I471" s="5">
        <f>RawData!F471</f>
        <v>52.53</v>
      </c>
      <c r="J471" s="5">
        <f>RawData!G471</f>
        <v>157.59</v>
      </c>
      <c r="K471" s="5" t="str">
        <f>RawData!H471</f>
        <v>East</v>
      </c>
      <c r="L471" s="5" t="str">
        <f t="shared" si="1"/>
        <v>Dec</v>
      </c>
    </row>
    <row r="472">
      <c r="A472" s="5" t="str">
        <f>RawData!A472</f>
        <v>ORD-5471</v>
      </c>
      <c r="B472" s="8">
        <f>RawData!B472</f>
        <v>45246</v>
      </c>
      <c r="C472" s="5" t="str">
        <f>RawData!C472</f>
        <v>C2100</v>
      </c>
      <c r="D472" s="5" t="str">
        <f>VLOOKUP(C472, Customers!A:B,2,FALSE)</f>
        <v/>
      </c>
      <c r="E472" s="5" t="str">
        <f>RawData!D472</f>
        <v>P1003</v>
      </c>
      <c r="G472" s="5" t="str">
        <f t="array" ref="G472">XLOOKUP(E472, Products!A:A, Products!C:C)</f>
        <v>Electronics</v>
      </c>
      <c r="H472" s="5">
        <f>RawData!E472</f>
        <v>4</v>
      </c>
      <c r="I472" s="5">
        <f>RawData!F472</f>
        <v>187.26</v>
      </c>
      <c r="J472" s="5">
        <f>RawData!G472</f>
        <v>749.04</v>
      </c>
      <c r="K472" s="5" t="str">
        <f>RawData!H472</f>
        <v>South</v>
      </c>
      <c r="L472" s="5" t="str">
        <f t="shared" si="1"/>
        <v>Nov</v>
      </c>
    </row>
    <row r="473">
      <c r="A473" s="5" t="str">
        <f>RawData!A473</f>
        <v>ORD-5472</v>
      </c>
      <c r="B473" s="8">
        <f>RawData!B473</f>
        <v>45667</v>
      </c>
      <c r="C473" s="5" t="str">
        <f>RawData!C473</f>
        <v>C2056</v>
      </c>
      <c r="D473" s="5" t="str">
        <f>VLOOKUP(C473, Customers!A:B,2,FALSE)</f>
        <v/>
      </c>
      <c r="E473" s="5" t="str">
        <f>RawData!D473</f>
        <v>P1023</v>
      </c>
      <c r="G473" s="5" t="str">
        <f t="array" ref="G473">XLOOKUP(E473, Products!A:A, Products!C:C)</f>
        <v>Fashion</v>
      </c>
      <c r="H473" s="5">
        <f>RawData!E473</f>
        <v>10</v>
      </c>
      <c r="I473" s="5">
        <f>RawData!F473</f>
        <v>70.71</v>
      </c>
      <c r="J473" s="5">
        <f>RawData!G473</f>
        <v>707.1</v>
      </c>
      <c r="K473" s="5" t="str">
        <f>RawData!H473</f>
        <v>South</v>
      </c>
      <c r="L473" s="5" t="str">
        <f t="shared" si="1"/>
        <v>Jan</v>
      </c>
    </row>
    <row r="474">
      <c r="A474" s="5" t="str">
        <f>RawData!A474</f>
        <v>ORD-5473</v>
      </c>
      <c r="B474" s="8">
        <f>RawData!B474</f>
        <v>45581</v>
      </c>
      <c r="C474" s="5" t="str">
        <f>RawData!C474</f>
        <v>C2472</v>
      </c>
      <c r="D474" s="5" t="str">
        <f>VLOOKUP(C474, Customers!A:B,2,FALSE)</f>
        <v/>
      </c>
      <c r="E474" s="5" t="str">
        <f>RawData!D474</f>
        <v>P1038</v>
      </c>
      <c r="G474" s="5" t="str">
        <f t="array" ref="G474">XLOOKUP(E474, Products!A:A, Products!C:C)</f>
        <v>Accessories</v>
      </c>
      <c r="H474" s="5">
        <f>RawData!E474</f>
        <v>9</v>
      </c>
      <c r="I474" s="5">
        <f>RawData!F474</f>
        <v>73.93</v>
      </c>
      <c r="J474" s="5">
        <f>RawData!G474</f>
        <v>665.37</v>
      </c>
      <c r="K474" s="5" t="str">
        <f>RawData!H474</f>
        <v>West</v>
      </c>
      <c r="L474" s="5" t="str">
        <f t="shared" si="1"/>
        <v>Oct</v>
      </c>
    </row>
    <row r="475">
      <c r="A475" s="5" t="str">
        <f>RawData!A475</f>
        <v>ORD-5474</v>
      </c>
      <c r="B475" s="8">
        <f>RawData!B475</f>
        <v>45808</v>
      </c>
      <c r="C475" s="5" t="str">
        <f>RawData!C475</f>
        <v>C2227</v>
      </c>
      <c r="D475" s="5" t="str">
        <f>VLOOKUP(C475, Customers!A:B,2,FALSE)</f>
        <v/>
      </c>
      <c r="E475" s="5" t="str">
        <f>RawData!D475</f>
        <v>P1042</v>
      </c>
      <c r="G475" s="5" t="str">
        <f t="array" ref="G475">XLOOKUP(E475, Products!A:A, Products!C:C)</f>
        <v>Electronics</v>
      </c>
      <c r="H475" s="5">
        <f>RawData!E475</f>
        <v>7</v>
      </c>
      <c r="I475" s="5">
        <f>RawData!F475</f>
        <v>90.5</v>
      </c>
      <c r="J475" s="5">
        <f>RawData!G475</f>
        <v>633.5</v>
      </c>
      <c r="K475" s="5" t="str">
        <f>RawData!H475</f>
        <v>South</v>
      </c>
      <c r="L475" s="5" t="str">
        <f t="shared" si="1"/>
        <v>May</v>
      </c>
    </row>
    <row r="476">
      <c r="A476" s="5" t="str">
        <f>RawData!A476</f>
        <v>ORD-5475</v>
      </c>
      <c r="B476" s="8">
        <f>RawData!B476</f>
        <v>45346</v>
      </c>
      <c r="C476" s="5" t="str">
        <f>RawData!C476</f>
        <v>C2085</v>
      </c>
      <c r="D476" s="5" t="str">
        <f>VLOOKUP(C476, Customers!A:B,2,FALSE)</f>
        <v/>
      </c>
      <c r="E476" s="5" t="str">
        <f>RawData!D476</f>
        <v>P1015</v>
      </c>
      <c r="G476" s="5" t="str">
        <f t="array" ref="G476">XLOOKUP(E476, Products!A:A, Products!C:C)</f>
        <v>Furniture</v>
      </c>
      <c r="H476" s="5">
        <f>RawData!E476</f>
        <v>8</v>
      </c>
      <c r="I476" s="5">
        <f>RawData!F476</f>
        <v>144.86</v>
      </c>
      <c r="J476" s="5">
        <f>RawData!G476</f>
        <v>1158.88</v>
      </c>
      <c r="K476" s="5" t="str">
        <f>RawData!H476</f>
        <v>South</v>
      </c>
      <c r="L476" s="5" t="str">
        <f t="shared" si="1"/>
        <v>Feb</v>
      </c>
    </row>
    <row r="477">
      <c r="A477" s="5" t="str">
        <f>RawData!A477</f>
        <v>ORD-5476</v>
      </c>
      <c r="B477" s="8">
        <f>RawData!B477</f>
        <v>45904</v>
      </c>
      <c r="C477" s="5" t="str">
        <f>RawData!C477</f>
        <v>C2463</v>
      </c>
      <c r="D477" s="5" t="str">
        <f>VLOOKUP(C477, Customers!A:B,2,FALSE)</f>
        <v/>
      </c>
      <c r="E477" s="5" t="str">
        <f>RawData!D477</f>
        <v>P1018</v>
      </c>
      <c r="G477" s="5" t="str">
        <f t="array" ref="G477">XLOOKUP(E477, Products!A:A, Products!C:C)</f>
        <v>Electronics</v>
      </c>
      <c r="H477" s="5">
        <f>RawData!E477</f>
        <v>10</v>
      </c>
      <c r="I477" s="5">
        <f>RawData!F477</f>
        <v>131.34</v>
      </c>
      <c r="J477" s="5">
        <f>RawData!G477</f>
        <v>1313.4</v>
      </c>
      <c r="K477" s="5" t="str">
        <f>RawData!H477</f>
        <v>North</v>
      </c>
      <c r="L477" s="5" t="str">
        <f t="shared" si="1"/>
        <v>Sep</v>
      </c>
    </row>
    <row r="478">
      <c r="A478" s="5" t="str">
        <f>RawData!A478</f>
        <v>ORD-5477</v>
      </c>
      <c r="B478" s="8">
        <f>RawData!B478</f>
        <v>45451</v>
      </c>
      <c r="C478" s="5" t="str">
        <f>RawData!C478</f>
        <v>C2244</v>
      </c>
      <c r="D478" s="5" t="str">
        <f>VLOOKUP(C478, Customers!A:B,2,FALSE)</f>
        <v/>
      </c>
      <c r="E478" s="5" t="str">
        <f>RawData!D478</f>
        <v>P1037</v>
      </c>
      <c r="G478" s="5" t="str">
        <f t="array" ref="G478">XLOOKUP(E478, Products!A:A, Products!C:C)</f>
        <v>Electronics</v>
      </c>
      <c r="H478" s="5">
        <f>RawData!E478</f>
        <v>10</v>
      </c>
      <c r="I478" s="5">
        <f>RawData!F478</f>
        <v>115.76</v>
      </c>
      <c r="J478" s="5">
        <f>RawData!G478</f>
        <v>1157.6</v>
      </c>
      <c r="K478" s="5" t="str">
        <f>RawData!H478</f>
        <v>North</v>
      </c>
      <c r="L478" s="5" t="str">
        <f t="shared" si="1"/>
        <v>Jun</v>
      </c>
    </row>
    <row r="479">
      <c r="A479" s="5" t="str">
        <f>RawData!A479</f>
        <v>ORD-5478</v>
      </c>
      <c r="B479" s="8">
        <f>RawData!B479</f>
        <v>46060</v>
      </c>
      <c r="C479" s="5" t="str">
        <f>RawData!C479</f>
        <v>C2245</v>
      </c>
      <c r="D479" s="5" t="str">
        <f>VLOOKUP(C479, Customers!A:B,2,FALSE)</f>
        <v/>
      </c>
      <c r="E479" s="5" t="str">
        <f>RawData!D479</f>
        <v>P1027</v>
      </c>
      <c r="G479" s="5" t="str">
        <f t="array" ref="G479">XLOOKUP(E479, Products!A:A, Products!C:C)</f>
        <v>Fashion</v>
      </c>
      <c r="H479" s="5">
        <f>RawData!E479</f>
        <v>5</v>
      </c>
      <c r="I479" s="5">
        <f>RawData!F479</f>
        <v>152.99</v>
      </c>
      <c r="J479" s="5">
        <f>RawData!G479</f>
        <v>764.95</v>
      </c>
      <c r="K479" s="5" t="str">
        <f>RawData!H479</f>
        <v>South</v>
      </c>
      <c r="L479" s="5" t="str">
        <f t="shared" si="1"/>
        <v>Feb</v>
      </c>
    </row>
    <row r="480">
      <c r="A480" s="5" t="str">
        <f>RawData!A480</f>
        <v>ORD-5479</v>
      </c>
      <c r="B480" s="8">
        <f>RawData!B480</f>
        <v>45313</v>
      </c>
      <c r="C480" s="5" t="str">
        <f>RawData!C480</f>
        <v>C2148</v>
      </c>
      <c r="D480" s="5" t="str">
        <f>VLOOKUP(C480, Customers!A:B,2,FALSE)</f>
        <v/>
      </c>
      <c r="E480" s="5" t="str">
        <f>RawData!D480</f>
        <v>P1003</v>
      </c>
      <c r="G480" s="5" t="str">
        <f t="array" ref="G480">XLOOKUP(E480, Products!A:A, Products!C:C)</f>
        <v>Electronics</v>
      </c>
      <c r="H480" s="5">
        <f>RawData!E480</f>
        <v>3</v>
      </c>
      <c r="I480" s="5">
        <f>RawData!F480</f>
        <v>187.26</v>
      </c>
      <c r="J480" s="5">
        <f>RawData!G480</f>
        <v>561.78</v>
      </c>
      <c r="K480" s="5" t="str">
        <f>RawData!H480</f>
        <v>North</v>
      </c>
      <c r="L480" s="5" t="str">
        <f t="shared" si="1"/>
        <v>Jan</v>
      </c>
    </row>
    <row r="481">
      <c r="A481" s="5" t="str">
        <f>RawData!A481</f>
        <v>ORD-5480</v>
      </c>
      <c r="B481" s="8">
        <f>RawData!B481</f>
        <v>44790</v>
      </c>
      <c r="C481" s="5" t="str">
        <f>RawData!C481</f>
        <v>C2388</v>
      </c>
      <c r="D481" s="5" t="str">
        <f>VLOOKUP(C481, Customers!A:B,2,FALSE)</f>
        <v/>
      </c>
      <c r="E481" s="5" t="str">
        <f>RawData!D481</f>
        <v>P1011</v>
      </c>
      <c r="G481" s="5" t="str">
        <f t="array" ref="G481">XLOOKUP(E481, Products!A:A, Products!C:C)</f>
        <v>Home</v>
      </c>
      <c r="H481" s="5">
        <f>RawData!E481</f>
        <v>5</v>
      </c>
      <c r="I481" s="5">
        <f>RawData!F481</f>
        <v>114.21</v>
      </c>
      <c r="J481" s="5">
        <f>RawData!G481</f>
        <v>571.05</v>
      </c>
      <c r="K481" s="5" t="str">
        <f>RawData!H481</f>
        <v>West</v>
      </c>
      <c r="L481" s="5" t="str">
        <f t="shared" si="1"/>
        <v>Aug</v>
      </c>
    </row>
    <row r="482">
      <c r="A482" s="5" t="str">
        <f>RawData!A482</f>
        <v>ORD-5481</v>
      </c>
      <c r="B482" s="8">
        <f>RawData!B482</f>
        <v>46010</v>
      </c>
      <c r="C482" s="5" t="str">
        <f>RawData!C482</f>
        <v>C2373</v>
      </c>
      <c r="D482" s="5" t="str">
        <f>VLOOKUP(C482, Customers!A:B,2,FALSE)</f>
        <v/>
      </c>
      <c r="E482" s="5" t="str">
        <f>RawData!D482</f>
        <v>P1035</v>
      </c>
      <c r="G482" s="5" t="str">
        <f t="array" ref="G482">XLOOKUP(E482, Products!A:A, Products!C:C)</f>
        <v>Home</v>
      </c>
      <c r="H482" s="5">
        <f>RawData!E482</f>
        <v>2</v>
      </c>
      <c r="I482" s="5">
        <f>RawData!F482</f>
        <v>35.91</v>
      </c>
      <c r="J482" s="5">
        <f>RawData!G482</f>
        <v>71.82</v>
      </c>
      <c r="K482" s="5" t="str">
        <f>RawData!H482</f>
        <v>West</v>
      </c>
      <c r="L482" s="5" t="str">
        <f t="shared" si="1"/>
        <v>Dec</v>
      </c>
    </row>
    <row r="483">
      <c r="A483" s="5" t="str">
        <f>RawData!A483</f>
        <v>ORD-5482</v>
      </c>
      <c r="B483" s="8">
        <f>RawData!B483</f>
        <v>45552</v>
      </c>
      <c r="C483" s="5" t="str">
        <f>RawData!C483</f>
        <v>C2413</v>
      </c>
      <c r="D483" s="5" t="str">
        <f>VLOOKUP(C483, Customers!A:B,2,FALSE)</f>
        <v/>
      </c>
      <c r="E483" s="5" t="str">
        <f>RawData!D483</f>
        <v>P1016</v>
      </c>
      <c r="G483" s="5" t="str">
        <f t="array" ref="G483">XLOOKUP(E483, Products!A:A, Products!C:C)</f>
        <v>Electronics</v>
      </c>
      <c r="H483" s="5">
        <f>RawData!E483</f>
        <v>7</v>
      </c>
      <c r="I483" s="5">
        <f>RawData!F483</f>
        <v>156.45</v>
      </c>
      <c r="J483" s="5">
        <f>RawData!G483</f>
        <v>1095.15</v>
      </c>
      <c r="K483" s="5" t="str">
        <f>RawData!H483</f>
        <v>West</v>
      </c>
      <c r="L483" s="5" t="str">
        <f t="shared" si="1"/>
        <v>Sep</v>
      </c>
    </row>
    <row r="484">
      <c r="A484" s="5" t="str">
        <f>RawData!A484</f>
        <v>ORD-5483</v>
      </c>
      <c r="B484" s="8">
        <f>RawData!B484</f>
        <v>45129</v>
      </c>
      <c r="C484" s="5" t="str">
        <f>RawData!C484</f>
        <v>C2368</v>
      </c>
      <c r="D484" s="5" t="str">
        <f>VLOOKUP(C484, Customers!A:B,2,FALSE)</f>
        <v/>
      </c>
      <c r="E484" s="5" t="str">
        <f>RawData!D484</f>
        <v>P1050</v>
      </c>
      <c r="G484" s="5" t="str">
        <f t="array" ref="G484">XLOOKUP(E484, Products!A:A, Products!C:C)</f>
        <v>Electronics</v>
      </c>
      <c r="H484" s="5">
        <f>RawData!E484</f>
        <v>5</v>
      </c>
      <c r="I484" s="5">
        <f>RawData!F484</f>
        <v>161.48</v>
      </c>
      <c r="J484" s="5">
        <f>RawData!G484</f>
        <v>807.4</v>
      </c>
      <c r="K484" s="5" t="str">
        <f>RawData!H484</f>
        <v>North</v>
      </c>
      <c r="L484" s="5" t="str">
        <f t="shared" si="1"/>
        <v>Jul</v>
      </c>
    </row>
    <row r="485">
      <c r="A485" s="5" t="str">
        <f>RawData!A485</f>
        <v>ORD-5484</v>
      </c>
      <c r="B485" s="8">
        <f>RawData!B485</f>
        <v>44696</v>
      </c>
      <c r="C485" s="5" t="str">
        <f>RawData!C485</f>
        <v>C2112</v>
      </c>
      <c r="D485" s="5" t="str">
        <f>VLOOKUP(C485, Customers!A:B,2,FALSE)</f>
        <v/>
      </c>
      <c r="E485" s="5" t="str">
        <f>RawData!D485</f>
        <v>P1048</v>
      </c>
      <c r="G485" s="5" t="str">
        <f t="array" ref="G485">XLOOKUP(E485, Products!A:A, Products!C:C)</f>
        <v>Accessories</v>
      </c>
      <c r="H485" s="5">
        <f>RawData!E485</f>
        <v>9</v>
      </c>
      <c r="I485" s="5">
        <f>RawData!F485</f>
        <v>174.29</v>
      </c>
      <c r="J485" s="5">
        <f>RawData!G485</f>
        <v>1568.61</v>
      </c>
      <c r="K485" s="5" t="str">
        <f>RawData!H485</f>
        <v>South</v>
      </c>
      <c r="L485" s="5" t="str">
        <f t="shared" si="1"/>
        <v>May</v>
      </c>
    </row>
    <row r="486">
      <c r="A486" s="5" t="str">
        <f>RawData!A486</f>
        <v>ORD-5485</v>
      </c>
      <c r="B486" s="8">
        <f>RawData!B486</f>
        <v>45895</v>
      </c>
      <c r="C486" s="5" t="str">
        <f>RawData!C486</f>
        <v>C2399</v>
      </c>
      <c r="D486" s="5" t="str">
        <f>VLOOKUP(C486, Customers!A:B,2,FALSE)</f>
        <v/>
      </c>
      <c r="E486" s="5" t="str">
        <f>RawData!D486</f>
        <v>P1001</v>
      </c>
      <c r="G486" s="5" t="str">
        <f t="array" ref="G486">XLOOKUP(E486, Products!A:A, Products!C:C)</f>
        <v>Electronics</v>
      </c>
      <c r="H486" s="5">
        <f>RawData!E486</f>
        <v>2</v>
      </c>
      <c r="I486" s="5">
        <f>RawData!F486</f>
        <v>144.69</v>
      </c>
      <c r="J486" s="5">
        <f>RawData!G486</f>
        <v>289.38</v>
      </c>
      <c r="K486" s="5" t="str">
        <f>RawData!H486</f>
        <v>West</v>
      </c>
      <c r="L486" s="5" t="str">
        <f t="shared" si="1"/>
        <v>Aug</v>
      </c>
    </row>
    <row r="487">
      <c r="A487" s="5" t="str">
        <f>RawData!A487</f>
        <v>ORD-5486</v>
      </c>
      <c r="B487" s="8">
        <f>RawData!B487</f>
        <v>45628</v>
      </c>
      <c r="C487" s="5" t="str">
        <f>RawData!C487</f>
        <v>C2177</v>
      </c>
      <c r="D487" s="5" t="str">
        <f>VLOOKUP(C487, Customers!A:B,2,FALSE)</f>
        <v/>
      </c>
      <c r="E487" s="5" t="str">
        <f>RawData!D487</f>
        <v>P1010</v>
      </c>
      <c r="G487" s="5" t="str">
        <f t="array" ref="G487">XLOOKUP(E487, Products!A:A, Products!C:C)</f>
        <v>Electronics</v>
      </c>
      <c r="H487" s="5">
        <f>RawData!E487</f>
        <v>2</v>
      </c>
      <c r="I487" s="5">
        <f>RawData!F487</f>
        <v>75.41</v>
      </c>
      <c r="J487" s="5">
        <f>RawData!G487</f>
        <v>150.82</v>
      </c>
      <c r="K487" s="5" t="str">
        <f>RawData!H487</f>
        <v>West</v>
      </c>
      <c r="L487" s="5" t="str">
        <f t="shared" si="1"/>
        <v>Dec</v>
      </c>
    </row>
    <row r="488">
      <c r="A488" s="5" t="str">
        <f>RawData!A488</f>
        <v>ORD-5487</v>
      </c>
      <c r="B488" s="8">
        <f>RawData!B488</f>
        <v>45363</v>
      </c>
      <c r="C488" s="5" t="str">
        <f>RawData!C488</f>
        <v>C2314</v>
      </c>
      <c r="D488" s="5" t="str">
        <f>VLOOKUP(C488, Customers!A:B,2,FALSE)</f>
        <v/>
      </c>
      <c r="E488" s="5" t="str">
        <f>RawData!D488</f>
        <v>P1049</v>
      </c>
      <c r="G488" s="5" t="str">
        <f t="array" ref="G488">XLOOKUP(E488, Products!A:A, Products!C:C)</f>
        <v>Accessories</v>
      </c>
      <c r="H488" s="5">
        <f>RawData!E488</f>
        <v>5</v>
      </c>
      <c r="I488" s="5">
        <f>RawData!F488</f>
        <v>62.86</v>
      </c>
      <c r="J488" s="5">
        <f>RawData!G488</f>
        <v>314.3</v>
      </c>
      <c r="K488" s="5" t="str">
        <f>RawData!H488</f>
        <v>West</v>
      </c>
      <c r="L488" s="5" t="str">
        <f t="shared" si="1"/>
        <v>Mar</v>
      </c>
    </row>
    <row r="489">
      <c r="A489" s="5" t="str">
        <f>RawData!A489</f>
        <v>ORD-5488</v>
      </c>
      <c r="B489" s="8">
        <f>RawData!B489</f>
        <v>45759</v>
      </c>
      <c r="C489" s="5" t="str">
        <f>RawData!C489</f>
        <v>C2418</v>
      </c>
      <c r="D489" s="5" t="str">
        <f>VLOOKUP(C489, Customers!A:B,2,FALSE)</f>
        <v>Lucas Reed</v>
      </c>
      <c r="E489" s="5" t="str">
        <f>RawData!D489</f>
        <v>P1039</v>
      </c>
      <c r="G489" s="5" t="str">
        <f t="array" ref="G489">XLOOKUP(E489, Products!A:A, Products!C:C)</f>
        <v>Electronics</v>
      </c>
      <c r="H489" s="5">
        <f>RawData!E489</f>
        <v>3</v>
      </c>
      <c r="I489" s="5">
        <f>RawData!F489</f>
        <v>52.53</v>
      </c>
      <c r="J489" s="5">
        <f>RawData!G489</f>
        <v>157.59</v>
      </c>
      <c r="K489" s="5" t="str">
        <f>RawData!H489</f>
        <v>East</v>
      </c>
      <c r="L489" s="5" t="str">
        <f t="shared" si="1"/>
        <v>Apr</v>
      </c>
    </row>
    <row r="490">
      <c r="A490" s="5" t="str">
        <f>RawData!A490</f>
        <v>ORD-5489</v>
      </c>
      <c r="B490" s="8">
        <f>RawData!B490</f>
        <v>44837</v>
      </c>
      <c r="C490" s="5" t="str">
        <f>RawData!C490</f>
        <v>C2191</v>
      </c>
      <c r="D490" s="5" t="str">
        <f>VLOOKUP(C490, Customers!A:B,2,FALSE)</f>
        <v/>
      </c>
      <c r="E490" s="5" t="str">
        <f>RawData!D490</f>
        <v>P1046</v>
      </c>
      <c r="G490" s="5" t="str">
        <f t="array" ref="G490">XLOOKUP(E490, Products!A:A, Products!C:C)</f>
        <v>Electronics</v>
      </c>
      <c r="H490" s="5">
        <f>RawData!E490</f>
        <v>1</v>
      </c>
      <c r="I490" s="5">
        <f>RawData!F490</f>
        <v>83.01</v>
      </c>
      <c r="J490" s="5">
        <f>RawData!G490</f>
        <v>83.01</v>
      </c>
      <c r="K490" s="5" t="str">
        <f>RawData!H490</f>
        <v>East</v>
      </c>
      <c r="L490" s="5" t="str">
        <f t="shared" si="1"/>
        <v>Oct</v>
      </c>
    </row>
    <row r="491">
      <c r="A491" s="5" t="str">
        <f>RawData!A491</f>
        <v>ORD-5490</v>
      </c>
      <c r="B491" s="8">
        <f>RawData!B491</f>
        <v>44670</v>
      </c>
      <c r="C491" s="5" t="str">
        <f>RawData!C491</f>
        <v>C2498</v>
      </c>
      <c r="D491" s="5" t="str">
        <f>VLOOKUP(C491, Customers!A:B,2,FALSE)</f>
        <v/>
      </c>
      <c r="E491" s="5" t="str">
        <f>RawData!D491</f>
        <v>P1045</v>
      </c>
      <c r="G491" s="5" t="str">
        <f t="array" ref="G491">XLOOKUP(E491, Products!A:A, Products!C:C)</f>
        <v>Accessories</v>
      </c>
      <c r="H491" s="5">
        <f>RawData!E491</f>
        <v>7</v>
      </c>
      <c r="I491" s="5">
        <f>RawData!F491</f>
        <v>159.7</v>
      </c>
      <c r="J491" s="5">
        <f>RawData!G491</f>
        <v>1117.9</v>
      </c>
      <c r="K491" s="5" t="str">
        <f>RawData!H491</f>
        <v>South</v>
      </c>
      <c r="L491" s="5" t="str">
        <f t="shared" si="1"/>
        <v>Apr</v>
      </c>
    </row>
    <row r="492">
      <c r="A492" s="5" t="str">
        <f>RawData!A492</f>
        <v>ORD-5491</v>
      </c>
      <c r="B492" s="8">
        <f>RawData!B492</f>
        <v>45578</v>
      </c>
      <c r="C492" s="5" t="str">
        <f>RawData!C492</f>
        <v>C2284</v>
      </c>
      <c r="D492" s="5" t="str">
        <f>VLOOKUP(C492, Customers!A:B,2,FALSE)</f>
        <v/>
      </c>
      <c r="E492" s="5" t="str">
        <f>RawData!D492</f>
        <v>P1032</v>
      </c>
      <c r="G492" s="5" t="str">
        <f t="array" ref="G492">XLOOKUP(E492, Products!A:A, Products!C:C)</f>
        <v>Fashion</v>
      </c>
      <c r="H492" s="5">
        <f>RawData!E492</f>
        <v>4</v>
      </c>
      <c r="I492" s="5">
        <f>RawData!F492</f>
        <v>52.33</v>
      </c>
      <c r="J492" s="5">
        <f>RawData!G492</f>
        <v>209.32</v>
      </c>
      <c r="K492" s="5" t="str">
        <f>RawData!H492</f>
        <v>West</v>
      </c>
      <c r="L492" s="5" t="str">
        <f t="shared" si="1"/>
        <v>Oct</v>
      </c>
    </row>
    <row r="493">
      <c r="A493" s="5" t="str">
        <f>RawData!A493</f>
        <v>ORD-5492</v>
      </c>
      <c r="B493" s="8">
        <f>RawData!B493</f>
        <v>45161</v>
      </c>
      <c r="C493" s="5" t="str">
        <f>RawData!C493</f>
        <v>C2313</v>
      </c>
      <c r="D493" s="5" t="str">
        <f>VLOOKUP(C493, Customers!A:B,2,FALSE)</f>
        <v/>
      </c>
      <c r="E493" s="5" t="str">
        <f>RawData!D493</f>
        <v>P1010</v>
      </c>
      <c r="G493" s="5" t="str">
        <f t="array" ref="G493">XLOOKUP(E493, Products!A:A, Products!C:C)</f>
        <v>Electronics</v>
      </c>
      <c r="H493" s="5">
        <f>RawData!E493</f>
        <v>6</v>
      </c>
      <c r="I493" s="5">
        <f>RawData!F493</f>
        <v>75.41</v>
      </c>
      <c r="J493" s="5">
        <f>RawData!G493</f>
        <v>452.46</v>
      </c>
      <c r="K493" s="5" t="str">
        <f>RawData!H493</f>
        <v>South</v>
      </c>
      <c r="L493" s="5" t="str">
        <f t="shared" si="1"/>
        <v>Aug</v>
      </c>
    </row>
    <row r="494">
      <c r="A494" s="5" t="str">
        <f>RawData!A494</f>
        <v>ORD-5493</v>
      </c>
      <c r="B494" s="8">
        <f>RawData!B494</f>
        <v>45662</v>
      </c>
      <c r="C494" s="5" t="str">
        <f>RawData!C494</f>
        <v>C2307</v>
      </c>
      <c r="D494" s="5" t="str">
        <f>VLOOKUP(C494, Customers!A:B,2,FALSE)</f>
        <v/>
      </c>
      <c r="E494" s="5" t="str">
        <f>RawData!D494</f>
        <v>P1003</v>
      </c>
      <c r="G494" s="5" t="str">
        <f t="array" ref="G494">XLOOKUP(E494, Products!A:A, Products!C:C)</f>
        <v>Electronics</v>
      </c>
      <c r="H494" s="5">
        <f>RawData!E494</f>
        <v>3</v>
      </c>
      <c r="I494" s="5">
        <f>RawData!F494</f>
        <v>187.26</v>
      </c>
      <c r="J494" s="5">
        <f>RawData!G494</f>
        <v>561.78</v>
      </c>
      <c r="K494" s="5" t="str">
        <f>RawData!H494</f>
        <v>East</v>
      </c>
      <c r="L494" s="5" t="str">
        <f t="shared" si="1"/>
        <v>Jan</v>
      </c>
    </row>
    <row r="495">
      <c r="A495" s="5" t="str">
        <f>RawData!A495</f>
        <v>ORD-5494</v>
      </c>
      <c r="B495" s="8">
        <f>RawData!B495</f>
        <v>44628</v>
      </c>
      <c r="C495" s="5" t="str">
        <f>RawData!C495</f>
        <v>C2283</v>
      </c>
      <c r="D495" s="5" t="str">
        <f>VLOOKUP(C495, Customers!A:B,2,FALSE)</f>
        <v>William Foster</v>
      </c>
      <c r="E495" s="5" t="str">
        <f>RawData!D495</f>
        <v>P1031</v>
      </c>
      <c r="G495" s="5" t="str">
        <f t="array" ref="G495">XLOOKUP(E495, Products!A:A, Products!C:C)</f>
        <v>Furniture</v>
      </c>
      <c r="H495" s="5">
        <f>RawData!E495</f>
        <v>1</v>
      </c>
      <c r="I495" s="5">
        <f>RawData!F495</f>
        <v>44.18</v>
      </c>
      <c r="J495" s="5">
        <f>RawData!G495</f>
        <v>44.18</v>
      </c>
      <c r="K495" s="5" t="str">
        <f>RawData!H495</f>
        <v>South</v>
      </c>
      <c r="L495" s="5" t="str">
        <f t="shared" si="1"/>
        <v>Mar</v>
      </c>
    </row>
    <row r="496">
      <c r="A496" s="5" t="str">
        <f>RawData!A496</f>
        <v>ORD-5495</v>
      </c>
      <c r="B496" s="8">
        <f>RawData!B496</f>
        <v>44883</v>
      </c>
      <c r="C496" s="5" t="str">
        <f>RawData!C496</f>
        <v>C2375</v>
      </c>
      <c r="D496" s="5" t="str">
        <f>VLOOKUP(C496, Customers!A:B,2,FALSE)</f>
        <v/>
      </c>
      <c r="E496" s="5" t="str">
        <f>RawData!D496</f>
        <v>P1003</v>
      </c>
      <c r="G496" s="5" t="str">
        <f t="array" ref="G496">XLOOKUP(E496, Products!A:A, Products!C:C)</f>
        <v>Electronics</v>
      </c>
      <c r="H496" s="5">
        <f>RawData!E496</f>
        <v>9</v>
      </c>
      <c r="I496" s="5">
        <f>RawData!F496</f>
        <v>187.26</v>
      </c>
      <c r="J496" s="5">
        <f>RawData!G496</f>
        <v>1685.34</v>
      </c>
      <c r="K496" s="5" t="str">
        <f>RawData!H496</f>
        <v>North</v>
      </c>
      <c r="L496" s="5" t="str">
        <f t="shared" si="1"/>
        <v>Nov</v>
      </c>
    </row>
    <row r="497">
      <c r="A497" s="5" t="str">
        <f>RawData!A497</f>
        <v>ORD-5496</v>
      </c>
      <c r="B497" s="8">
        <f>RawData!B497</f>
        <v>45392</v>
      </c>
      <c r="C497" s="5" t="str">
        <f>RawData!C497</f>
        <v>C2055</v>
      </c>
      <c r="D497" s="5" t="str">
        <f>VLOOKUP(C497, Customers!A:B,2,FALSE)</f>
        <v/>
      </c>
      <c r="E497" s="5" t="str">
        <f>RawData!D497</f>
        <v>P1046</v>
      </c>
      <c r="G497" s="5" t="str">
        <f t="array" ref="G497">XLOOKUP(E497, Products!A:A, Products!C:C)</f>
        <v>Electronics</v>
      </c>
      <c r="H497" s="5">
        <f>RawData!E497</f>
        <v>7</v>
      </c>
      <c r="I497" s="5">
        <f>RawData!F497</f>
        <v>83.01</v>
      </c>
      <c r="J497" s="5">
        <f>RawData!G497</f>
        <v>581.07</v>
      </c>
      <c r="K497" s="5" t="str">
        <f>RawData!H497</f>
        <v>South</v>
      </c>
      <c r="L497" s="5" t="str">
        <f t="shared" si="1"/>
        <v>Apr</v>
      </c>
    </row>
    <row r="498">
      <c r="A498" s="5" t="str">
        <f>RawData!A498</f>
        <v>ORD-5497</v>
      </c>
      <c r="B498" s="8">
        <f>RawData!B498</f>
        <v>46076</v>
      </c>
      <c r="C498" s="5" t="str">
        <f>RawData!C498</f>
        <v>C2356</v>
      </c>
      <c r="D498" s="5" t="str">
        <f>VLOOKUP(C498, Customers!A:B,2,FALSE)</f>
        <v/>
      </c>
      <c r="E498" s="5" t="str">
        <f>RawData!D498</f>
        <v>P1043</v>
      </c>
      <c r="G498" s="5" t="str">
        <f t="array" ref="G498">XLOOKUP(E498, Products!A:A, Products!C:C)</f>
        <v>Fashion</v>
      </c>
      <c r="H498" s="5">
        <f>RawData!E498</f>
        <v>7</v>
      </c>
      <c r="I498" s="5">
        <f>RawData!F498</f>
        <v>183.75</v>
      </c>
      <c r="J498" s="5">
        <f>RawData!G498</f>
        <v>1286.25</v>
      </c>
      <c r="K498" s="5" t="str">
        <f>RawData!H498</f>
        <v>East</v>
      </c>
      <c r="L498" s="5" t="str">
        <f t="shared" si="1"/>
        <v>Feb</v>
      </c>
    </row>
    <row r="499">
      <c r="A499" s="5" t="str">
        <f>RawData!A499</f>
        <v>ORD-5498</v>
      </c>
      <c r="B499" s="8">
        <f>RawData!B499</f>
        <v>45071</v>
      </c>
      <c r="C499" s="5" t="str">
        <f>RawData!C499</f>
        <v>C2065</v>
      </c>
      <c r="D499" s="5" t="str">
        <f>VLOOKUP(C499, Customers!A:B,2,FALSE)</f>
        <v/>
      </c>
      <c r="E499" s="5" t="str">
        <f>RawData!D499</f>
        <v>P1045</v>
      </c>
      <c r="G499" s="5" t="str">
        <f t="array" ref="G499">XLOOKUP(E499, Products!A:A, Products!C:C)</f>
        <v>Accessories</v>
      </c>
      <c r="H499" s="5">
        <f>RawData!E499</f>
        <v>6</v>
      </c>
      <c r="I499" s="5">
        <f>RawData!F499</f>
        <v>159.7</v>
      </c>
      <c r="J499" s="5">
        <f>RawData!G499</f>
        <v>958.2</v>
      </c>
      <c r="K499" s="5" t="str">
        <f>RawData!H499</f>
        <v>North</v>
      </c>
      <c r="L499" s="5" t="str">
        <f t="shared" si="1"/>
        <v>May</v>
      </c>
    </row>
    <row r="500">
      <c r="A500" s="5" t="str">
        <f>RawData!A500</f>
        <v>ORD-5499</v>
      </c>
      <c r="B500" s="8">
        <f>RawData!B500</f>
        <v>45819</v>
      </c>
      <c r="C500" s="5" t="str">
        <f>RawData!C500</f>
        <v>C2056</v>
      </c>
      <c r="D500" s="5" t="str">
        <f>VLOOKUP(C500, Customers!A:B,2,FALSE)</f>
        <v/>
      </c>
      <c r="E500" s="5" t="str">
        <f>RawData!D500</f>
        <v>P1005</v>
      </c>
      <c r="G500" s="5" t="str">
        <f t="array" ref="G500">XLOOKUP(E500, Products!A:A, Products!C:C)</f>
        <v>Furniture</v>
      </c>
      <c r="H500" s="5">
        <f>RawData!E500</f>
        <v>5</v>
      </c>
      <c r="I500" s="5">
        <f>RawData!F500</f>
        <v>160.49</v>
      </c>
      <c r="J500" s="5">
        <f>RawData!G500</f>
        <v>802.45</v>
      </c>
      <c r="K500" s="5" t="str">
        <f>RawData!H500</f>
        <v>West</v>
      </c>
      <c r="L500" s="5" t="str">
        <f t="shared" si="1"/>
        <v>Jun</v>
      </c>
    </row>
    <row r="501">
      <c r="A501" s="5" t="str">
        <f>RawData!A501</f>
        <v>ORD-5500</v>
      </c>
      <c r="B501" s="8">
        <f>RawData!B501</f>
        <v>45435</v>
      </c>
      <c r="C501" s="5" t="str">
        <f>RawData!C501</f>
        <v>C2472</v>
      </c>
      <c r="D501" s="5" t="str">
        <f>VLOOKUP(C501, Customers!A:B,2,FALSE)</f>
        <v/>
      </c>
      <c r="E501" s="5" t="str">
        <f>RawData!D501</f>
        <v>P1045</v>
      </c>
      <c r="G501" s="5" t="str">
        <f t="array" ref="G501">XLOOKUP(E501, Products!A:A, Products!C:C)</f>
        <v>Accessories</v>
      </c>
      <c r="H501" s="5">
        <f>RawData!E501</f>
        <v>9</v>
      </c>
      <c r="I501" s="5">
        <f>RawData!F501</f>
        <v>159.7</v>
      </c>
      <c r="J501" s="5">
        <f>RawData!G501</f>
        <v>1437.3</v>
      </c>
      <c r="K501" s="5" t="str">
        <f>RawData!H501</f>
        <v>South</v>
      </c>
      <c r="L501" s="5" t="str">
        <f t="shared" si="1"/>
        <v>May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75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5"/>
  </cols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3.63"/>
    <col customWidth="1" min="4" max="4" width="15.0"/>
    <col customWidth="1" min="6" max="6" width="14.38"/>
    <col customWidth="1" min="9" max="9" width="14.75"/>
  </cols>
  <sheetData>
    <row r="1">
      <c r="C1" s="7"/>
      <c r="D1" s="7"/>
      <c r="E1" s="1"/>
      <c r="F1" s="1"/>
      <c r="G1" s="1"/>
      <c r="H1" s="1"/>
      <c r="I1" s="1"/>
      <c r="J1" s="1"/>
      <c r="K1" s="1"/>
    </row>
    <row r="2">
      <c r="J2" s="9"/>
    </row>
    <row r="3">
      <c r="J3" s="9"/>
    </row>
    <row r="4">
      <c r="J4" s="9"/>
    </row>
    <row r="5">
      <c r="J5" s="9"/>
    </row>
    <row r="6">
      <c r="J6" s="9"/>
    </row>
    <row r="7">
      <c r="J7" s="9"/>
    </row>
    <row r="8">
      <c r="J8" s="9"/>
    </row>
    <row r="9">
      <c r="J9" s="9"/>
    </row>
    <row r="10">
      <c r="J10" s="9"/>
    </row>
    <row r="11">
      <c r="J11" s="9"/>
    </row>
    <row r="12">
      <c r="J12" s="9"/>
    </row>
    <row r="13">
      <c r="J13" s="9"/>
    </row>
    <row r="14">
      <c r="J14" s="9"/>
    </row>
    <row r="15">
      <c r="J15" s="9"/>
    </row>
    <row r="16">
      <c r="J16" s="9"/>
    </row>
    <row r="17">
      <c r="J17" s="9"/>
    </row>
    <row r="18">
      <c r="J18" s="9"/>
    </row>
    <row r="19">
      <c r="J19" s="9"/>
    </row>
    <row r="20">
      <c r="J20" s="9"/>
    </row>
    <row r="21">
      <c r="J21" s="9"/>
    </row>
    <row r="22">
      <c r="J22" s="9"/>
    </row>
    <row r="23">
      <c r="J23" s="9"/>
    </row>
    <row r="24">
      <c r="J24" s="9"/>
    </row>
    <row r="25">
      <c r="J25" s="9"/>
    </row>
    <row r="26">
      <c r="J26" s="9"/>
    </row>
    <row r="27">
      <c r="J27" s="9"/>
    </row>
    <row r="28">
      <c r="J28" s="9"/>
    </row>
    <row r="29">
      <c r="J29" s="9"/>
    </row>
    <row r="30">
      <c r="J30" s="9"/>
    </row>
    <row r="31">
      <c r="J31" s="9"/>
    </row>
    <row r="32">
      <c r="J32" s="9"/>
    </row>
    <row r="33">
      <c r="J33" s="9"/>
    </row>
    <row r="34">
      <c r="J34" s="9"/>
    </row>
    <row r="35">
      <c r="J35" s="9"/>
    </row>
    <row r="36">
      <c r="J36" s="9"/>
    </row>
    <row r="37">
      <c r="J37" s="9"/>
    </row>
    <row r="38">
      <c r="J38" s="9"/>
    </row>
    <row r="39">
      <c r="J39" s="9"/>
    </row>
    <row r="40">
      <c r="J40" s="9"/>
    </row>
    <row r="41">
      <c r="J41" s="9"/>
    </row>
    <row r="42">
      <c r="J42" s="9"/>
    </row>
    <row r="43">
      <c r="J43" s="9"/>
    </row>
    <row r="44">
      <c r="J44" s="9"/>
    </row>
    <row r="45">
      <c r="J45" s="9"/>
    </row>
    <row r="46">
      <c r="J46" s="9"/>
    </row>
    <row r="47">
      <c r="J47" s="9"/>
    </row>
    <row r="48">
      <c r="J48" s="9"/>
    </row>
    <row r="49">
      <c r="J49" s="9"/>
    </row>
    <row r="50">
      <c r="J50" s="9"/>
    </row>
    <row r="51">
      <c r="J51" s="9"/>
    </row>
    <row r="52">
      <c r="J52" s="9"/>
    </row>
    <row r="53">
      <c r="J53" s="9"/>
    </row>
    <row r="54">
      <c r="J54" s="9"/>
    </row>
    <row r="55">
      <c r="J55" s="9"/>
    </row>
    <row r="56">
      <c r="J56" s="9"/>
    </row>
    <row r="57">
      <c r="J57" s="9"/>
    </row>
    <row r="58">
      <c r="J58" s="9"/>
    </row>
    <row r="59">
      <c r="J59" s="9"/>
    </row>
    <row r="60">
      <c r="J60" s="9"/>
    </row>
    <row r="61">
      <c r="J61" s="9"/>
    </row>
    <row r="62">
      <c r="J62" s="9"/>
    </row>
    <row r="63">
      <c r="J63" s="9"/>
    </row>
    <row r="64">
      <c r="J64" s="9"/>
    </row>
    <row r="65">
      <c r="J65" s="9"/>
    </row>
    <row r="66">
      <c r="J66" s="9"/>
    </row>
    <row r="67">
      <c r="J67" s="9"/>
    </row>
    <row r="68">
      <c r="J68" s="9"/>
    </row>
    <row r="69">
      <c r="J69" s="9"/>
    </row>
    <row r="70">
      <c r="J70" s="9"/>
    </row>
    <row r="71">
      <c r="J71" s="9"/>
    </row>
    <row r="72">
      <c r="J72" s="9"/>
    </row>
    <row r="73">
      <c r="J73" s="9"/>
    </row>
    <row r="74">
      <c r="J74" s="9"/>
    </row>
    <row r="75">
      <c r="J75" s="9"/>
    </row>
    <row r="76">
      <c r="J76" s="9"/>
    </row>
    <row r="77">
      <c r="J77" s="9"/>
    </row>
    <row r="78">
      <c r="J78" s="9"/>
    </row>
    <row r="79">
      <c r="J79" s="9"/>
    </row>
    <row r="80">
      <c r="J80" s="9"/>
    </row>
    <row r="81">
      <c r="J81" s="9"/>
    </row>
    <row r="82">
      <c r="J82" s="9"/>
    </row>
    <row r="83">
      <c r="J83" s="9"/>
    </row>
    <row r="84">
      <c r="J84" s="9"/>
    </row>
    <row r="85">
      <c r="J85" s="9"/>
    </row>
    <row r="86">
      <c r="J86" s="9"/>
    </row>
    <row r="87">
      <c r="J87" s="9"/>
    </row>
    <row r="88">
      <c r="J88" s="9"/>
    </row>
    <row r="89">
      <c r="J89" s="9"/>
    </row>
    <row r="90">
      <c r="J90" s="9"/>
    </row>
    <row r="91">
      <c r="J91" s="9"/>
    </row>
    <row r="92">
      <c r="J92" s="9"/>
    </row>
    <row r="93">
      <c r="J93" s="9"/>
    </row>
    <row r="94">
      <c r="J94" s="9"/>
    </row>
    <row r="95">
      <c r="J95" s="9"/>
    </row>
    <row r="96">
      <c r="J96" s="9"/>
    </row>
    <row r="97">
      <c r="J97" s="9"/>
    </row>
    <row r="98">
      <c r="J98" s="9"/>
    </row>
    <row r="99">
      <c r="J99" s="9"/>
    </row>
    <row r="100">
      <c r="J100" s="9"/>
    </row>
    <row r="101">
      <c r="J101" s="9"/>
    </row>
    <row r="102">
      <c r="J102" s="9"/>
    </row>
    <row r="103">
      <c r="J103" s="9"/>
    </row>
    <row r="104">
      <c r="J104" s="9"/>
    </row>
    <row r="105">
      <c r="J105" s="9"/>
    </row>
    <row r="106">
      <c r="J106" s="9"/>
    </row>
    <row r="107">
      <c r="J107" s="9"/>
    </row>
    <row r="108">
      <c r="J108" s="9"/>
    </row>
    <row r="109">
      <c r="J109" s="9"/>
    </row>
    <row r="110">
      <c r="J110" s="9"/>
    </row>
    <row r="111">
      <c r="J111" s="9"/>
    </row>
    <row r="112">
      <c r="J112" s="9"/>
    </row>
    <row r="113">
      <c r="J113" s="9"/>
    </row>
    <row r="114">
      <c r="J114" s="9"/>
    </row>
    <row r="115">
      <c r="J115" s="9"/>
    </row>
    <row r="116">
      <c r="J116" s="9"/>
    </row>
    <row r="117">
      <c r="J117" s="9"/>
    </row>
    <row r="118">
      <c r="J118" s="9"/>
    </row>
    <row r="119">
      <c r="J119" s="9"/>
    </row>
    <row r="120">
      <c r="J120" s="9"/>
    </row>
    <row r="121">
      <c r="J121" s="9"/>
    </row>
    <row r="122">
      <c r="J122" s="9"/>
    </row>
    <row r="123">
      <c r="J123" s="9"/>
    </row>
    <row r="124">
      <c r="J124" s="9"/>
    </row>
    <row r="125">
      <c r="J125" s="9"/>
    </row>
    <row r="126">
      <c r="J126" s="9"/>
    </row>
    <row r="127">
      <c r="J127" s="9"/>
    </row>
    <row r="128">
      <c r="J128" s="9"/>
    </row>
    <row r="129">
      <c r="J129" s="9"/>
    </row>
    <row r="130">
      <c r="J130" s="9"/>
    </row>
    <row r="131">
      <c r="J131" s="9"/>
    </row>
    <row r="132">
      <c r="J132" s="9"/>
    </row>
    <row r="133">
      <c r="J133" s="9"/>
    </row>
    <row r="134">
      <c r="J134" s="9"/>
    </row>
    <row r="135">
      <c r="J135" s="9"/>
    </row>
    <row r="136">
      <c r="J136" s="9"/>
    </row>
    <row r="137">
      <c r="J137" s="9"/>
    </row>
    <row r="138">
      <c r="J138" s="9"/>
    </row>
    <row r="139">
      <c r="J139" s="9"/>
    </row>
    <row r="140">
      <c r="J140" s="9"/>
    </row>
    <row r="141">
      <c r="J141" s="9"/>
    </row>
    <row r="142">
      <c r="J142" s="9"/>
    </row>
    <row r="143">
      <c r="J143" s="9"/>
    </row>
    <row r="144">
      <c r="J144" s="9"/>
    </row>
    <row r="145">
      <c r="J145" s="9"/>
    </row>
    <row r="146">
      <c r="J146" s="9"/>
    </row>
    <row r="147">
      <c r="J147" s="9"/>
    </row>
    <row r="148">
      <c r="J148" s="9"/>
    </row>
    <row r="149">
      <c r="J149" s="9"/>
    </row>
    <row r="150">
      <c r="J150" s="9"/>
    </row>
    <row r="151">
      <c r="J151" s="9"/>
    </row>
    <row r="152">
      <c r="J152" s="9"/>
    </row>
    <row r="153">
      <c r="J153" s="9"/>
    </row>
    <row r="154">
      <c r="J154" s="9"/>
    </row>
    <row r="155">
      <c r="J155" s="9"/>
    </row>
    <row r="156">
      <c r="J156" s="9"/>
    </row>
    <row r="157">
      <c r="J157" s="9"/>
    </row>
    <row r="158">
      <c r="J158" s="9"/>
    </row>
    <row r="159">
      <c r="J159" s="9"/>
    </row>
    <row r="160">
      <c r="J160" s="9"/>
    </row>
    <row r="161">
      <c r="J161" s="9"/>
    </row>
    <row r="162">
      <c r="J162" s="9"/>
    </row>
    <row r="163">
      <c r="J163" s="9"/>
    </row>
    <row r="164">
      <c r="J164" s="9"/>
    </row>
    <row r="165">
      <c r="J165" s="9"/>
    </row>
    <row r="166">
      <c r="J166" s="9"/>
    </row>
    <row r="167">
      <c r="J167" s="9"/>
    </row>
    <row r="168">
      <c r="J168" s="9"/>
    </row>
    <row r="169">
      <c r="J169" s="9"/>
    </row>
    <row r="170">
      <c r="J170" s="9"/>
    </row>
    <row r="171">
      <c r="J171" s="9"/>
    </row>
    <row r="172">
      <c r="J172" s="9"/>
    </row>
    <row r="173">
      <c r="J173" s="9"/>
    </row>
    <row r="174">
      <c r="J174" s="9"/>
    </row>
    <row r="175">
      <c r="J175" s="9"/>
    </row>
    <row r="176">
      <c r="J176" s="9"/>
    </row>
    <row r="177">
      <c r="J177" s="9"/>
    </row>
    <row r="178">
      <c r="J178" s="9"/>
    </row>
    <row r="179">
      <c r="J179" s="9"/>
    </row>
    <row r="180">
      <c r="J180" s="9"/>
    </row>
    <row r="181">
      <c r="J181" s="9"/>
    </row>
    <row r="182">
      <c r="J182" s="9"/>
    </row>
    <row r="183">
      <c r="J183" s="9"/>
    </row>
    <row r="184">
      <c r="J184" s="9"/>
    </row>
    <row r="185">
      <c r="J185" s="9"/>
    </row>
    <row r="186">
      <c r="J186" s="9"/>
    </row>
    <row r="187">
      <c r="J187" s="9"/>
    </row>
    <row r="188">
      <c r="J188" s="9"/>
    </row>
    <row r="189">
      <c r="J189" s="9"/>
    </row>
    <row r="190">
      <c r="J190" s="9"/>
    </row>
    <row r="191">
      <c r="J191" s="9"/>
    </row>
    <row r="192">
      <c r="J192" s="9"/>
    </row>
    <row r="193">
      <c r="J193" s="9"/>
    </row>
    <row r="194">
      <c r="J194" s="9"/>
    </row>
    <row r="195">
      <c r="J195" s="9"/>
    </row>
    <row r="196">
      <c r="J196" s="9"/>
    </row>
    <row r="197">
      <c r="J197" s="9"/>
    </row>
    <row r="198">
      <c r="J198" s="9"/>
    </row>
    <row r="199">
      <c r="J199" s="9"/>
    </row>
    <row r="200">
      <c r="J200" s="9"/>
    </row>
    <row r="201">
      <c r="J201" s="9"/>
    </row>
    <row r="202">
      <c r="J202" s="9"/>
    </row>
    <row r="203">
      <c r="J203" s="9"/>
    </row>
    <row r="204">
      <c r="J204" s="9"/>
    </row>
    <row r="205">
      <c r="J205" s="9"/>
    </row>
    <row r="206">
      <c r="J206" s="9"/>
    </row>
    <row r="207">
      <c r="J207" s="9"/>
    </row>
    <row r="208">
      <c r="J208" s="9"/>
    </row>
    <row r="209">
      <c r="J209" s="9"/>
    </row>
    <row r="210">
      <c r="J210" s="9"/>
    </row>
    <row r="211">
      <c r="J211" s="9"/>
    </row>
    <row r="212">
      <c r="J212" s="9"/>
    </row>
    <row r="213">
      <c r="J213" s="9"/>
    </row>
    <row r="214">
      <c r="J214" s="9"/>
    </row>
    <row r="215">
      <c r="J215" s="9"/>
    </row>
    <row r="216">
      <c r="J216" s="9"/>
    </row>
    <row r="217">
      <c r="J217" s="9"/>
    </row>
    <row r="218">
      <c r="J218" s="9"/>
    </row>
    <row r="219">
      <c r="J219" s="9"/>
    </row>
    <row r="220">
      <c r="J220" s="9"/>
    </row>
    <row r="221">
      <c r="J221" s="9"/>
    </row>
    <row r="222">
      <c r="J222" s="9"/>
    </row>
    <row r="223">
      <c r="J223" s="9"/>
    </row>
    <row r="224">
      <c r="J224" s="9"/>
    </row>
    <row r="225">
      <c r="J225" s="9"/>
    </row>
    <row r="226">
      <c r="J226" s="9"/>
    </row>
    <row r="227">
      <c r="J227" s="9"/>
    </row>
    <row r="228">
      <c r="J228" s="9"/>
    </row>
    <row r="229">
      <c r="J229" s="9"/>
    </row>
    <row r="230">
      <c r="J230" s="9"/>
    </row>
    <row r="231">
      <c r="J231" s="9"/>
    </row>
    <row r="232">
      <c r="J232" s="9"/>
    </row>
    <row r="233">
      <c r="J233" s="9"/>
    </row>
    <row r="234">
      <c r="J234" s="9"/>
    </row>
    <row r="235">
      <c r="J235" s="9"/>
    </row>
    <row r="236">
      <c r="J236" s="9"/>
    </row>
    <row r="237">
      <c r="J237" s="9"/>
    </row>
    <row r="238">
      <c r="J238" s="9"/>
    </row>
    <row r="239">
      <c r="J239" s="9"/>
    </row>
    <row r="240">
      <c r="J240" s="9"/>
    </row>
    <row r="241">
      <c r="J241" s="9"/>
    </row>
    <row r="242">
      <c r="J242" s="9"/>
    </row>
    <row r="243">
      <c r="J243" s="9"/>
    </row>
    <row r="244">
      <c r="J244" s="9"/>
    </row>
    <row r="245">
      <c r="J245" s="9"/>
    </row>
    <row r="246">
      <c r="J246" s="9"/>
    </row>
    <row r="247">
      <c r="J247" s="9"/>
    </row>
    <row r="248">
      <c r="J248" s="9"/>
    </row>
    <row r="249">
      <c r="J249" s="9"/>
    </row>
    <row r="250">
      <c r="J250" s="9"/>
    </row>
    <row r="251">
      <c r="J251" s="9"/>
    </row>
    <row r="252">
      <c r="J252" s="9"/>
    </row>
    <row r="253">
      <c r="J253" s="9"/>
    </row>
    <row r="254">
      <c r="J254" s="9"/>
    </row>
    <row r="255">
      <c r="J255" s="9"/>
    </row>
    <row r="256">
      <c r="J256" s="9"/>
    </row>
    <row r="257">
      <c r="J257" s="9"/>
    </row>
    <row r="258">
      <c r="J258" s="9"/>
    </row>
    <row r="259">
      <c r="J259" s="9"/>
    </row>
    <row r="260">
      <c r="J260" s="9"/>
    </row>
    <row r="261">
      <c r="J261" s="9"/>
    </row>
    <row r="262">
      <c r="J262" s="9"/>
    </row>
    <row r="263">
      <c r="J263" s="9"/>
    </row>
    <row r="264">
      <c r="J264" s="9"/>
    </row>
    <row r="265">
      <c r="J265" s="9"/>
    </row>
    <row r="266">
      <c r="J266" s="9"/>
    </row>
    <row r="267">
      <c r="J267" s="9"/>
    </row>
    <row r="268">
      <c r="J268" s="9"/>
    </row>
    <row r="269">
      <c r="J269" s="9"/>
    </row>
    <row r="270">
      <c r="J270" s="9"/>
    </row>
    <row r="271">
      <c r="J271" s="9"/>
    </row>
    <row r="272">
      <c r="J272" s="9"/>
    </row>
    <row r="273">
      <c r="J273" s="9"/>
    </row>
    <row r="274">
      <c r="J274" s="9"/>
    </row>
    <row r="275">
      <c r="J275" s="9"/>
    </row>
    <row r="276">
      <c r="J276" s="9"/>
    </row>
    <row r="277">
      <c r="J277" s="9"/>
    </row>
    <row r="278">
      <c r="J278" s="9"/>
    </row>
    <row r="279">
      <c r="J279" s="9"/>
    </row>
    <row r="280">
      <c r="J280" s="9"/>
    </row>
    <row r="281">
      <c r="J281" s="9"/>
    </row>
    <row r="282">
      <c r="J282" s="9"/>
    </row>
    <row r="283">
      <c r="J283" s="9"/>
    </row>
    <row r="284">
      <c r="J284" s="9"/>
    </row>
    <row r="285">
      <c r="J285" s="9"/>
    </row>
    <row r="286">
      <c r="J286" s="9"/>
    </row>
    <row r="287">
      <c r="J287" s="9"/>
    </row>
    <row r="288">
      <c r="J288" s="9"/>
    </row>
    <row r="289">
      <c r="J289" s="9"/>
    </row>
    <row r="290">
      <c r="J290" s="9"/>
    </row>
    <row r="291">
      <c r="J291" s="9"/>
    </row>
    <row r="292">
      <c r="J292" s="9"/>
    </row>
    <row r="293">
      <c r="J293" s="9"/>
    </row>
    <row r="294">
      <c r="J294" s="9"/>
    </row>
    <row r="295">
      <c r="J295" s="9"/>
    </row>
    <row r="296">
      <c r="J296" s="9"/>
    </row>
    <row r="297">
      <c r="J297" s="9"/>
    </row>
    <row r="298">
      <c r="J298" s="9"/>
    </row>
    <row r="299">
      <c r="J299" s="9"/>
    </row>
    <row r="300">
      <c r="J300" s="9"/>
    </row>
    <row r="301">
      <c r="J301" s="9"/>
    </row>
    <row r="302">
      <c r="J302" s="9"/>
    </row>
    <row r="303">
      <c r="J303" s="9"/>
    </row>
    <row r="304">
      <c r="J304" s="9"/>
    </row>
    <row r="305">
      <c r="J305" s="9"/>
    </row>
    <row r="306">
      <c r="J306" s="9"/>
    </row>
    <row r="307">
      <c r="J307" s="9"/>
    </row>
    <row r="308">
      <c r="J308" s="9"/>
    </row>
    <row r="309">
      <c r="J309" s="9"/>
    </row>
    <row r="310">
      <c r="J310" s="9"/>
    </row>
    <row r="311">
      <c r="J311" s="9"/>
    </row>
    <row r="312">
      <c r="J312" s="9"/>
    </row>
    <row r="313">
      <c r="J313" s="9"/>
    </row>
    <row r="314">
      <c r="J314" s="9"/>
    </row>
    <row r="315">
      <c r="J315" s="9"/>
    </row>
    <row r="316">
      <c r="J316" s="9"/>
    </row>
    <row r="317">
      <c r="J317" s="9"/>
    </row>
    <row r="318">
      <c r="J318" s="9"/>
    </row>
    <row r="319">
      <c r="J319" s="9"/>
    </row>
    <row r="320">
      <c r="J320" s="9"/>
    </row>
    <row r="321">
      <c r="J321" s="9"/>
    </row>
    <row r="322">
      <c r="J322" s="9"/>
    </row>
    <row r="323">
      <c r="J323" s="9"/>
    </row>
    <row r="324">
      <c r="J324" s="9"/>
    </row>
    <row r="325">
      <c r="J325" s="9"/>
    </row>
    <row r="326">
      <c r="J326" s="9"/>
    </row>
    <row r="327">
      <c r="J327" s="9"/>
    </row>
    <row r="328">
      <c r="J328" s="9"/>
    </row>
    <row r="329">
      <c r="J329" s="9"/>
    </row>
    <row r="330">
      <c r="J330" s="9"/>
    </row>
    <row r="331">
      <c r="J331" s="9"/>
    </row>
    <row r="332">
      <c r="J332" s="9"/>
    </row>
    <row r="333">
      <c r="J333" s="9"/>
    </row>
    <row r="334">
      <c r="J334" s="9"/>
    </row>
    <row r="335">
      <c r="J335" s="9"/>
    </row>
    <row r="336">
      <c r="J336" s="9"/>
    </row>
    <row r="337">
      <c r="J337" s="9"/>
    </row>
    <row r="338">
      <c r="J338" s="9"/>
    </row>
    <row r="339">
      <c r="J339" s="9"/>
    </row>
    <row r="340">
      <c r="J340" s="9"/>
    </row>
    <row r="341">
      <c r="J341" s="9"/>
    </row>
    <row r="342">
      <c r="J342" s="9"/>
    </row>
    <row r="343">
      <c r="J343" s="9"/>
    </row>
    <row r="344">
      <c r="J344" s="9"/>
    </row>
    <row r="345">
      <c r="J345" s="9"/>
    </row>
    <row r="346">
      <c r="J346" s="9"/>
    </row>
    <row r="347">
      <c r="J347" s="9"/>
    </row>
    <row r="348">
      <c r="J348" s="9"/>
    </row>
    <row r="349">
      <c r="J349" s="9"/>
    </row>
    <row r="350">
      <c r="J350" s="9"/>
    </row>
    <row r="351">
      <c r="J351" s="9"/>
    </row>
    <row r="352">
      <c r="J352" s="9"/>
    </row>
    <row r="353">
      <c r="J353" s="9"/>
    </row>
    <row r="354">
      <c r="J354" s="9"/>
    </row>
    <row r="355">
      <c r="J355" s="9"/>
    </row>
    <row r="356">
      <c r="J356" s="9"/>
    </row>
    <row r="357">
      <c r="J357" s="9"/>
    </row>
    <row r="358">
      <c r="J358" s="9"/>
    </row>
    <row r="359">
      <c r="J359" s="9"/>
    </row>
    <row r="360">
      <c r="J360" s="9"/>
    </row>
    <row r="361">
      <c r="J361" s="9"/>
    </row>
    <row r="362">
      <c r="J362" s="9"/>
    </row>
    <row r="363">
      <c r="J363" s="9"/>
    </row>
    <row r="364">
      <c r="J364" s="9"/>
    </row>
    <row r="365">
      <c r="J365" s="9"/>
    </row>
    <row r="366">
      <c r="J366" s="9"/>
    </row>
    <row r="367">
      <c r="J367" s="9"/>
    </row>
    <row r="368">
      <c r="J368" s="9"/>
    </row>
    <row r="369">
      <c r="J369" s="9"/>
    </row>
    <row r="370">
      <c r="J370" s="9"/>
    </row>
    <row r="371">
      <c r="J371" s="9"/>
    </row>
    <row r="372">
      <c r="J372" s="9"/>
    </row>
    <row r="373">
      <c r="J373" s="9"/>
    </row>
    <row r="374">
      <c r="J374" s="9"/>
    </row>
    <row r="375">
      <c r="J375" s="9"/>
    </row>
    <row r="376">
      <c r="J376" s="9"/>
    </row>
    <row r="377">
      <c r="J377" s="9"/>
    </row>
    <row r="378">
      <c r="J378" s="9"/>
    </row>
    <row r="379">
      <c r="J379" s="9"/>
    </row>
    <row r="380">
      <c r="J380" s="9"/>
    </row>
    <row r="381">
      <c r="J381" s="9"/>
    </row>
    <row r="382">
      <c r="J382" s="9"/>
    </row>
    <row r="383">
      <c r="J383" s="9"/>
    </row>
    <row r="384">
      <c r="J384" s="9"/>
    </row>
    <row r="385">
      <c r="J385" s="9"/>
    </row>
    <row r="386">
      <c r="J386" s="9"/>
    </row>
    <row r="387">
      <c r="J387" s="9"/>
    </row>
    <row r="388">
      <c r="J388" s="9"/>
    </row>
    <row r="389">
      <c r="J389" s="9"/>
    </row>
    <row r="390">
      <c r="J390" s="9"/>
    </row>
    <row r="391">
      <c r="J391" s="9"/>
    </row>
    <row r="392">
      <c r="J392" s="9"/>
    </row>
    <row r="393">
      <c r="J393" s="9"/>
    </row>
    <row r="394">
      <c r="J394" s="9"/>
    </row>
    <row r="395">
      <c r="J395" s="9"/>
    </row>
    <row r="396">
      <c r="J396" s="9"/>
    </row>
    <row r="397">
      <c r="J397" s="9"/>
    </row>
    <row r="398">
      <c r="J398" s="9"/>
    </row>
    <row r="399">
      <c r="J399" s="9"/>
    </row>
    <row r="400">
      <c r="J400" s="9"/>
    </row>
    <row r="401">
      <c r="J401" s="9"/>
    </row>
    <row r="402">
      <c r="J402" s="9"/>
    </row>
    <row r="403">
      <c r="J403" s="9"/>
    </row>
    <row r="404">
      <c r="J404" s="9"/>
    </row>
    <row r="405">
      <c r="J405" s="9"/>
    </row>
    <row r="406">
      <c r="J406" s="9"/>
    </row>
    <row r="407">
      <c r="J407" s="9"/>
    </row>
    <row r="408">
      <c r="J408" s="9"/>
    </row>
    <row r="409">
      <c r="J409" s="9"/>
    </row>
    <row r="410">
      <c r="J410" s="9"/>
    </row>
    <row r="411">
      <c r="J411" s="9"/>
    </row>
    <row r="412">
      <c r="J412" s="9"/>
    </row>
    <row r="413">
      <c r="J413" s="9"/>
    </row>
    <row r="414">
      <c r="J414" s="9"/>
    </row>
    <row r="415">
      <c r="J415" s="9"/>
    </row>
    <row r="416">
      <c r="J416" s="9"/>
    </row>
    <row r="417">
      <c r="J417" s="9"/>
    </row>
    <row r="418">
      <c r="J418" s="9"/>
    </row>
    <row r="419">
      <c r="J419" s="9"/>
    </row>
    <row r="420">
      <c r="J420" s="9"/>
    </row>
    <row r="421">
      <c r="J421" s="9"/>
    </row>
    <row r="422">
      <c r="J422" s="9"/>
    </row>
    <row r="423">
      <c r="J423" s="9"/>
    </row>
    <row r="424">
      <c r="J424" s="9"/>
    </row>
    <row r="425">
      <c r="J425" s="9"/>
    </row>
    <row r="426">
      <c r="J426" s="9"/>
    </row>
    <row r="427">
      <c r="J427" s="9"/>
    </row>
    <row r="428">
      <c r="J428" s="9"/>
    </row>
    <row r="429">
      <c r="J429" s="9"/>
    </row>
    <row r="430">
      <c r="J430" s="9"/>
    </row>
    <row r="431">
      <c r="J431" s="9"/>
    </row>
    <row r="432">
      <c r="J432" s="9"/>
    </row>
    <row r="433">
      <c r="J433" s="9"/>
    </row>
    <row r="434">
      <c r="J434" s="9"/>
    </row>
    <row r="435">
      <c r="J435" s="9"/>
    </row>
    <row r="436">
      <c r="J436" s="9"/>
    </row>
    <row r="437">
      <c r="J437" s="9"/>
    </row>
    <row r="438">
      <c r="J438" s="9"/>
    </row>
    <row r="439">
      <c r="J439" s="9"/>
    </row>
    <row r="440">
      <c r="J440" s="9"/>
    </row>
    <row r="441">
      <c r="J441" s="9"/>
    </row>
    <row r="442">
      <c r="J442" s="9"/>
    </row>
    <row r="443">
      <c r="J443" s="9"/>
    </row>
    <row r="444">
      <c r="J444" s="9"/>
    </row>
    <row r="445">
      <c r="J445" s="9"/>
    </row>
    <row r="446">
      <c r="J446" s="9"/>
    </row>
    <row r="447">
      <c r="J447" s="9"/>
    </row>
    <row r="448">
      <c r="J448" s="9"/>
    </row>
    <row r="449">
      <c r="J449" s="9"/>
    </row>
    <row r="450">
      <c r="J450" s="9"/>
    </row>
    <row r="451">
      <c r="J451" s="9"/>
    </row>
    <row r="452">
      <c r="J452" s="9"/>
    </row>
    <row r="453">
      <c r="J453" s="9"/>
    </row>
    <row r="454">
      <c r="J454" s="9"/>
    </row>
    <row r="455">
      <c r="J455" s="9"/>
    </row>
    <row r="456">
      <c r="J456" s="9"/>
    </row>
    <row r="457">
      <c r="J457" s="9"/>
    </row>
    <row r="458">
      <c r="J458" s="9"/>
    </row>
    <row r="459">
      <c r="J459" s="9"/>
    </row>
    <row r="460">
      <c r="J460" s="9"/>
    </row>
    <row r="461">
      <c r="J461" s="9"/>
    </row>
    <row r="462">
      <c r="J462" s="9"/>
    </row>
    <row r="463">
      <c r="J463" s="9"/>
    </row>
    <row r="464">
      <c r="J464" s="9"/>
    </row>
    <row r="465">
      <c r="J465" s="9"/>
    </row>
    <row r="466">
      <c r="J466" s="9"/>
    </row>
    <row r="467">
      <c r="J467" s="9"/>
    </row>
    <row r="468">
      <c r="J468" s="9"/>
    </row>
    <row r="469">
      <c r="J469" s="9"/>
    </row>
    <row r="470">
      <c r="J470" s="9"/>
    </row>
    <row r="471">
      <c r="J471" s="9"/>
    </row>
    <row r="472">
      <c r="J472" s="9"/>
    </row>
    <row r="473">
      <c r="J473" s="9"/>
    </row>
    <row r="474">
      <c r="J474" s="9"/>
    </row>
    <row r="475">
      <c r="J475" s="9"/>
    </row>
    <row r="476">
      <c r="J476" s="9"/>
    </row>
    <row r="477">
      <c r="J477" s="9"/>
    </row>
    <row r="478">
      <c r="J478" s="9"/>
    </row>
    <row r="479">
      <c r="J479" s="9"/>
    </row>
    <row r="480">
      <c r="J480" s="9"/>
    </row>
    <row r="481">
      <c r="J481" s="9"/>
    </row>
    <row r="482">
      <c r="J482" s="9"/>
    </row>
    <row r="483">
      <c r="J483" s="9"/>
    </row>
    <row r="484">
      <c r="J484" s="9"/>
    </row>
    <row r="485">
      <c r="J485" s="9"/>
    </row>
    <row r="486">
      <c r="J486" s="9"/>
    </row>
    <row r="487">
      <c r="J487" s="9"/>
    </row>
    <row r="488">
      <c r="J488" s="9"/>
    </row>
    <row r="489">
      <c r="J489" s="9"/>
    </row>
    <row r="490">
      <c r="J490" s="9"/>
    </row>
    <row r="491">
      <c r="J491" s="9"/>
    </row>
    <row r="492">
      <c r="J492" s="9"/>
    </row>
    <row r="493">
      <c r="J493" s="9"/>
    </row>
    <row r="494">
      <c r="J494" s="9"/>
    </row>
    <row r="495">
      <c r="J495" s="9"/>
    </row>
    <row r="496">
      <c r="J496" s="9"/>
    </row>
    <row r="497">
      <c r="J497" s="9"/>
    </row>
    <row r="498">
      <c r="J498" s="9"/>
    </row>
    <row r="499">
      <c r="J499" s="9"/>
    </row>
    <row r="500">
      <c r="J500" s="9"/>
    </row>
    <row r="501">
      <c r="J501" s="9"/>
    </row>
    <row r="502">
      <c r="J502" s="9"/>
    </row>
    <row r="503">
      <c r="J503" s="9"/>
    </row>
    <row r="504">
      <c r="J504" s="9"/>
    </row>
    <row r="505">
      <c r="J505" s="9"/>
    </row>
    <row r="506">
      <c r="J506" s="9"/>
    </row>
    <row r="507">
      <c r="J507" s="9"/>
    </row>
    <row r="508">
      <c r="J508" s="9"/>
    </row>
    <row r="509">
      <c r="J509" s="9"/>
    </row>
    <row r="510">
      <c r="J510" s="9"/>
    </row>
    <row r="511">
      <c r="J511" s="9"/>
    </row>
    <row r="512">
      <c r="J512" s="9"/>
    </row>
    <row r="513">
      <c r="J513" s="9"/>
    </row>
    <row r="514">
      <c r="J514" s="9"/>
    </row>
    <row r="515">
      <c r="J515" s="9"/>
    </row>
    <row r="516">
      <c r="J516" s="9"/>
    </row>
    <row r="517">
      <c r="J517" s="9"/>
    </row>
    <row r="518">
      <c r="J518" s="9"/>
    </row>
    <row r="519">
      <c r="J519" s="9"/>
    </row>
    <row r="520">
      <c r="J520" s="9"/>
    </row>
    <row r="521">
      <c r="J521" s="9"/>
    </row>
    <row r="522">
      <c r="J522" s="9"/>
    </row>
    <row r="523">
      <c r="J523" s="9"/>
    </row>
    <row r="524">
      <c r="J524" s="9"/>
    </row>
    <row r="525">
      <c r="J525" s="9"/>
    </row>
    <row r="526">
      <c r="J526" s="9"/>
    </row>
    <row r="527">
      <c r="J527" s="9"/>
    </row>
    <row r="528">
      <c r="J528" s="9"/>
    </row>
    <row r="529">
      <c r="J529" s="9"/>
    </row>
    <row r="530">
      <c r="J530" s="9"/>
    </row>
    <row r="531">
      <c r="J531" s="9"/>
    </row>
    <row r="532">
      <c r="J532" s="9"/>
    </row>
    <row r="533">
      <c r="J533" s="9"/>
    </row>
    <row r="534">
      <c r="J534" s="9"/>
    </row>
    <row r="535">
      <c r="J535" s="9"/>
    </row>
    <row r="536">
      <c r="J536" s="9"/>
    </row>
    <row r="537">
      <c r="J537" s="9"/>
    </row>
    <row r="538">
      <c r="J538" s="9"/>
    </row>
    <row r="539">
      <c r="J539" s="9"/>
    </row>
    <row r="540">
      <c r="J540" s="9"/>
    </row>
    <row r="541">
      <c r="J541" s="9"/>
    </row>
    <row r="542">
      <c r="J542" s="9"/>
    </row>
    <row r="543">
      <c r="J543" s="9"/>
    </row>
    <row r="544">
      <c r="J544" s="9"/>
    </row>
    <row r="545">
      <c r="J545" s="9"/>
    </row>
    <row r="546">
      <c r="J546" s="9"/>
    </row>
    <row r="547">
      <c r="J547" s="9"/>
    </row>
    <row r="548">
      <c r="J548" s="9"/>
    </row>
    <row r="549">
      <c r="J549" s="9"/>
    </row>
    <row r="550">
      <c r="J550" s="9"/>
    </row>
    <row r="551">
      <c r="J551" s="9"/>
    </row>
    <row r="552">
      <c r="J552" s="9"/>
    </row>
    <row r="553">
      <c r="J553" s="9"/>
    </row>
    <row r="554">
      <c r="J554" s="9"/>
    </row>
    <row r="555">
      <c r="J555" s="9"/>
    </row>
    <row r="556">
      <c r="J556" s="9"/>
    </row>
    <row r="557">
      <c r="J557" s="9"/>
    </row>
    <row r="558">
      <c r="J558" s="9"/>
    </row>
    <row r="559">
      <c r="J559" s="9"/>
    </row>
    <row r="560">
      <c r="J560" s="9"/>
    </row>
    <row r="561">
      <c r="J561" s="9"/>
    </row>
    <row r="562">
      <c r="J562" s="9"/>
    </row>
    <row r="563">
      <c r="J563" s="9"/>
    </row>
    <row r="564">
      <c r="J564" s="9"/>
    </row>
    <row r="565">
      <c r="J565" s="9"/>
    </row>
    <row r="566">
      <c r="J566" s="9"/>
    </row>
    <row r="567">
      <c r="J567" s="9"/>
    </row>
    <row r="568">
      <c r="J568" s="9"/>
    </row>
    <row r="569">
      <c r="J569" s="9"/>
    </row>
    <row r="570">
      <c r="J570" s="9"/>
    </row>
    <row r="571">
      <c r="J571" s="9"/>
    </row>
    <row r="572">
      <c r="J572" s="9"/>
    </row>
    <row r="573">
      <c r="J573" s="9"/>
    </row>
    <row r="574">
      <c r="J574" s="9"/>
    </row>
    <row r="575">
      <c r="J575" s="9"/>
    </row>
    <row r="576">
      <c r="J576" s="9"/>
    </row>
    <row r="577">
      <c r="J577" s="9"/>
    </row>
    <row r="578">
      <c r="J578" s="9"/>
    </row>
    <row r="579">
      <c r="J579" s="9"/>
    </row>
    <row r="580">
      <c r="J580" s="9"/>
    </row>
    <row r="581">
      <c r="J581" s="9"/>
    </row>
    <row r="582">
      <c r="J582" s="9"/>
    </row>
    <row r="583">
      <c r="J583" s="9"/>
    </row>
    <row r="584">
      <c r="J584" s="9"/>
    </row>
    <row r="585">
      <c r="J585" s="9"/>
    </row>
    <row r="586">
      <c r="J586" s="9"/>
    </row>
    <row r="587">
      <c r="J587" s="9"/>
    </row>
    <row r="588">
      <c r="J588" s="9"/>
    </row>
    <row r="589">
      <c r="J589" s="9"/>
    </row>
    <row r="590">
      <c r="J590" s="9"/>
    </row>
    <row r="591">
      <c r="J591" s="9"/>
    </row>
    <row r="592">
      <c r="J592" s="9"/>
    </row>
    <row r="593">
      <c r="J593" s="9"/>
    </row>
    <row r="594">
      <c r="J594" s="9"/>
    </row>
    <row r="595">
      <c r="J595" s="9"/>
    </row>
    <row r="596">
      <c r="J596" s="9"/>
    </row>
    <row r="597">
      <c r="J597" s="9"/>
    </row>
    <row r="598">
      <c r="J598" s="9"/>
    </row>
    <row r="599">
      <c r="J599" s="9"/>
    </row>
    <row r="600">
      <c r="J600" s="9"/>
    </row>
    <row r="601">
      <c r="J601" s="9"/>
    </row>
    <row r="602">
      <c r="J602" s="9"/>
    </row>
    <row r="603">
      <c r="J603" s="9"/>
    </row>
    <row r="604">
      <c r="J604" s="9"/>
    </row>
    <row r="605">
      <c r="J605" s="9"/>
    </row>
    <row r="606">
      <c r="J606" s="9"/>
    </row>
    <row r="607">
      <c r="J607" s="9"/>
    </row>
    <row r="608">
      <c r="J608" s="9"/>
    </row>
    <row r="609">
      <c r="J609" s="9"/>
    </row>
    <row r="610">
      <c r="J610" s="9"/>
    </row>
    <row r="611">
      <c r="J611" s="9"/>
    </row>
    <row r="612">
      <c r="J612" s="9"/>
    </row>
    <row r="613">
      <c r="J613" s="9"/>
    </row>
    <row r="614">
      <c r="J614" s="9"/>
    </row>
    <row r="615">
      <c r="J615" s="9"/>
    </row>
    <row r="616">
      <c r="J616" s="9"/>
    </row>
    <row r="617">
      <c r="J617" s="9"/>
    </row>
    <row r="618">
      <c r="J618" s="9"/>
    </row>
    <row r="619">
      <c r="J619" s="9"/>
    </row>
    <row r="620">
      <c r="J620" s="9"/>
    </row>
    <row r="621">
      <c r="J621" s="9"/>
    </row>
    <row r="622">
      <c r="J622" s="9"/>
    </row>
    <row r="623">
      <c r="J623" s="9"/>
    </row>
    <row r="624">
      <c r="J624" s="9"/>
    </row>
    <row r="625">
      <c r="J625" s="9"/>
    </row>
    <row r="626">
      <c r="J626" s="9"/>
    </row>
    <row r="627">
      <c r="J627" s="9"/>
    </row>
    <row r="628">
      <c r="J628" s="9"/>
    </row>
    <row r="629">
      <c r="J629" s="9"/>
    </row>
    <row r="630">
      <c r="J630" s="9"/>
    </row>
    <row r="631">
      <c r="J631" s="9"/>
    </row>
    <row r="632">
      <c r="J632" s="9"/>
    </row>
    <row r="633">
      <c r="J633" s="9"/>
    </row>
    <row r="634">
      <c r="J634" s="9"/>
    </row>
    <row r="635">
      <c r="J635" s="9"/>
    </row>
    <row r="636">
      <c r="J636" s="9"/>
    </row>
    <row r="637">
      <c r="J637" s="9"/>
    </row>
    <row r="638">
      <c r="J638" s="9"/>
    </row>
    <row r="639">
      <c r="J639" s="9"/>
    </row>
    <row r="640">
      <c r="J640" s="9"/>
    </row>
    <row r="641">
      <c r="J641" s="9"/>
    </row>
    <row r="642">
      <c r="J642" s="9"/>
    </row>
    <row r="643">
      <c r="J643" s="9"/>
    </row>
    <row r="644">
      <c r="J644" s="9"/>
    </row>
    <row r="645">
      <c r="J645" s="9"/>
    </row>
    <row r="646">
      <c r="J646" s="9"/>
    </row>
    <row r="647">
      <c r="J647" s="9"/>
    </row>
    <row r="648">
      <c r="J648" s="9"/>
    </row>
    <row r="649">
      <c r="J649" s="9"/>
    </row>
    <row r="650">
      <c r="J650" s="9"/>
    </row>
    <row r="651">
      <c r="J651" s="9"/>
    </row>
    <row r="652">
      <c r="J652" s="9"/>
    </row>
    <row r="653">
      <c r="J653" s="9"/>
    </row>
    <row r="654">
      <c r="J654" s="9"/>
    </row>
    <row r="655">
      <c r="J655" s="9"/>
    </row>
    <row r="656">
      <c r="J656" s="9"/>
    </row>
    <row r="657">
      <c r="J657" s="9"/>
    </row>
    <row r="658">
      <c r="J658" s="9"/>
    </row>
    <row r="659">
      <c r="J659" s="9"/>
    </row>
    <row r="660">
      <c r="J660" s="9"/>
    </row>
    <row r="661">
      <c r="J661" s="9"/>
    </row>
    <row r="662">
      <c r="J662" s="9"/>
    </row>
    <row r="663">
      <c r="J663" s="9"/>
    </row>
    <row r="664">
      <c r="J664" s="9"/>
    </row>
    <row r="665">
      <c r="J665" s="9"/>
    </row>
    <row r="666">
      <c r="J666" s="9"/>
    </row>
    <row r="667">
      <c r="J667" s="9"/>
    </row>
    <row r="668">
      <c r="J668" s="9"/>
    </row>
    <row r="669">
      <c r="J669" s="9"/>
    </row>
    <row r="670">
      <c r="J670" s="9"/>
    </row>
    <row r="671">
      <c r="J671" s="9"/>
    </row>
    <row r="672">
      <c r="J672" s="9"/>
    </row>
    <row r="673">
      <c r="J673" s="9"/>
    </row>
    <row r="674">
      <c r="J674" s="9"/>
    </row>
    <row r="675">
      <c r="J675" s="9"/>
    </row>
    <row r="676">
      <c r="J676" s="9"/>
    </row>
    <row r="677">
      <c r="J677" s="9"/>
    </row>
    <row r="678">
      <c r="J678" s="9"/>
    </row>
    <row r="679">
      <c r="J679" s="9"/>
    </row>
    <row r="680">
      <c r="J680" s="9"/>
    </row>
    <row r="681">
      <c r="J681" s="9"/>
    </row>
    <row r="682">
      <c r="J682" s="9"/>
    </row>
    <row r="683">
      <c r="J683" s="9"/>
    </row>
    <row r="684">
      <c r="J684" s="9"/>
    </row>
    <row r="685">
      <c r="J685" s="9"/>
    </row>
    <row r="686">
      <c r="J686" s="9"/>
    </row>
    <row r="687">
      <c r="J687" s="9"/>
    </row>
    <row r="688">
      <c r="J688" s="9"/>
    </row>
    <row r="689">
      <c r="J689" s="9"/>
    </row>
    <row r="690">
      <c r="J690" s="9"/>
    </row>
    <row r="691">
      <c r="J691" s="9"/>
    </row>
    <row r="692">
      <c r="J692" s="9"/>
    </row>
    <row r="693">
      <c r="J693" s="9"/>
    </row>
    <row r="694">
      <c r="J694" s="9"/>
    </row>
    <row r="695">
      <c r="J695" s="9"/>
    </row>
    <row r="696">
      <c r="J696" s="9"/>
    </row>
    <row r="697">
      <c r="J697" s="9"/>
    </row>
    <row r="698">
      <c r="J698" s="9"/>
    </row>
    <row r="699">
      <c r="J699" s="9"/>
    </row>
    <row r="700">
      <c r="J700" s="9"/>
    </row>
    <row r="701">
      <c r="J701" s="9"/>
    </row>
    <row r="702">
      <c r="J702" s="9"/>
    </row>
    <row r="703">
      <c r="J703" s="9"/>
    </row>
    <row r="704">
      <c r="J704" s="9"/>
    </row>
    <row r="705">
      <c r="J705" s="9"/>
    </row>
    <row r="706">
      <c r="J706" s="9"/>
    </row>
    <row r="707">
      <c r="J707" s="9"/>
    </row>
    <row r="708">
      <c r="J708" s="9"/>
    </row>
    <row r="709">
      <c r="J709" s="9"/>
    </row>
    <row r="710">
      <c r="J710" s="9"/>
    </row>
    <row r="711">
      <c r="J711" s="9"/>
    </row>
    <row r="712">
      <c r="J712" s="9"/>
    </row>
    <row r="713">
      <c r="J713" s="9"/>
    </row>
    <row r="714">
      <c r="J714" s="9"/>
    </row>
    <row r="715">
      <c r="J715" s="9"/>
    </row>
    <row r="716">
      <c r="J716" s="9"/>
    </row>
    <row r="717">
      <c r="J717" s="9"/>
    </row>
    <row r="718">
      <c r="J718" s="9"/>
    </row>
    <row r="719">
      <c r="J719" s="9"/>
    </row>
    <row r="720">
      <c r="J720" s="9"/>
    </row>
    <row r="721">
      <c r="J721" s="9"/>
    </row>
    <row r="722">
      <c r="J722" s="9"/>
    </row>
    <row r="723">
      <c r="J723" s="9"/>
    </row>
    <row r="724">
      <c r="J724" s="9"/>
    </row>
    <row r="725">
      <c r="J725" s="9"/>
    </row>
    <row r="726">
      <c r="J726" s="9"/>
    </row>
    <row r="727">
      <c r="J727" s="9"/>
    </row>
    <row r="728">
      <c r="J728" s="9"/>
    </row>
    <row r="729">
      <c r="J729" s="9"/>
    </row>
    <row r="730">
      <c r="J730" s="9"/>
    </row>
    <row r="731">
      <c r="J731" s="9"/>
    </row>
    <row r="732">
      <c r="J732" s="9"/>
    </row>
    <row r="733">
      <c r="J733" s="9"/>
    </row>
    <row r="734">
      <c r="J734" s="9"/>
    </row>
    <row r="735">
      <c r="J735" s="9"/>
    </row>
    <row r="736">
      <c r="J736" s="9"/>
    </row>
    <row r="737">
      <c r="J737" s="9"/>
    </row>
    <row r="738">
      <c r="J738" s="9"/>
    </row>
    <row r="739">
      <c r="J739" s="9"/>
    </row>
    <row r="740">
      <c r="J740" s="9"/>
    </row>
    <row r="741">
      <c r="J741" s="9"/>
    </row>
    <row r="742">
      <c r="J742" s="9"/>
    </row>
    <row r="743">
      <c r="J743" s="9"/>
    </row>
    <row r="744">
      <c r="J744" s="9"/>
    </row>
    <row r="745">
      <c r="J745" s="9"/>
    </row>
    <row r="746">
      <c r="J746" s="9"/>
    </row>
    <row r="747">
      <c r="J747" s="9"/>
    </row>
    <row r="748">
      <c r="J748" s="9"/>
    </row>
    <row r="749">
      <c r="J749" s="9"/>
    </row>
    <row r="750">
      <c r="J750" s="9"/>
    </row>
    <row r="751">
      <c r="J751" s="9"/>
    </row>
    <row r="752">
      <c r="J752" s="9"/>
    </row>
    <row r="753">
      <c r="J753" s="9"/>
    </row>
    <row r="754">
      <c r="J754" s="9"/>
    </row>
    <row r="755">
      <c r="J755" s="9"/>
    </row>
    <row r="756">
      <c r="J756" s="9"/>
    </row>
    <row r="757">
      <c r="J757" s="9"/>
    </row>
    <row r="758">
      <c r="J758" s="9"/>
    </row>
    <row r="759">
      <c r="J759" s="9"/>
    </row>
    <row r="760">
      <c r="J760" s="9"/>
    </row>
    <row r="761">
      <c r="J761" s="9"/>
    </row>
    <row r="762">
      <c r="J762" s="9"/>
    </row>
    <row r="763">
      <c r="J763" s="9"/>
    </row>
    <row r="764">
      <c r="J764" s="9"/>
    </row>
    <row r="765">
      <c r="J765" s="9"/>
    </row>
    <row r="766">
      <c r="J766" s="9"/>
    </row>
    <row r="767">
      <c r="J767" s="9"/>
    </row>
    <row r="768">
      <c r="J768" s="9"/>
    </row>
    <row r="769">
      <c r="J769" s="9"/>
    </row>
    <row r="770">
      <c r="J770" s="9"/>
    </row>
    <row r="771">
      <c r="J771" s="9"/>
    </row>
    <row r="772">
      <c r="J772" s="9"/>
    </row>
    <row r="773">
      <c r="J773" s="9"/>
    </row>
    <row r="774">
      <c r="J774" s="9"/>
    </row>
    <row r="775">
      <c r="J775" s="9"/>
    </row>
    <row r="776">
      <c r="J776" s="9"/>
    </row>
    <row r="777">
      <c r="J777" s="9"/>
    </row>
    <row r="778">
      <c r="J778" s="9"/>
    </row>
    <row r="779">
      <c r="J779" s="9"/>
    </row>
    <row r="780">
      <c r="J780" s="9"/>
    </row>
    <row r="781">
      <c r="J781" s="9"/>
    </row>
    <row r="782">
      <c r="J782" s="9"/>
    </row>
    <row r="783">
      <c r="J783" s="9"/>
    </row>
    <row r="784">
      <c r="J784" s="9"/>
    </row>
    <row r="785">
      <c r="J785" s="9"/>
    </row>
    <row r="786">
      <c r="J786" s="9"/>
    </row>
    <row r="787">
      <c r="J787" s="9"/>
    </row>
    <row r="788">
      <c r="J788" s="9"/>
    </row>
    <row r="789">
      <c r="J789" s="9"/>
    </row>
    <row r="790">
      <c r="J790" s="9"/>
    </row>
    <row r="791">
      <c r="J791" s="9"/>
    </row>
    <row r="792">
      <c r="J792" s="9"/>
    </row>
    <row r="793">
      <c r="J793" s="9"/>
    </row>
    <row r="794">
      <c r="J794" s="9"/>
    </row>
    <row r="795">
      <c r="J795" s="9"/>
    </row>
    <row r="796">
      <c r="J796" s="9"/>
    </row>
    <row r="797">
      <c r="J797" s="9"/>
    </row>
    <row r="798">
      <c r="J798" s="9"/>
    </row>
    <row r="799">
      <c r="J799" s="9"/>
    </row>
    <row r="800">
      <c r="J800" s="9"/>
    </row>
    <row r="801">
      <c r="J801" s="9"/>
    </row>
    <row r="802">
      <c r="J802" s="9"/>
    </row>
    <row r="803">
      <c r="J803" s="9"/>
    </row>
    <row r="804">
      <c r="J804" s="9"/>
    </row>
    <row r="805">
      <c r="J805" s="9"/>
    </row>
    <row r="806">
      <c r="J806" s="9"/>
    </row>
    <row r="807">
      <c r="J807" s="9"/>
    </row>
    <row r="808">
      <c r="J808" s="9"/>
    </row>
    <row r="809">
      <c r="J809" s="9"/>
    </row>
    <row r="810">
      <c r="J810" s="9"/>
    </row>
    <row r="811">
      <c r="J811" s="9"/>
    </row>
    <row r="812">
      <c r="J812" s="9"/>
    </row>
    <row r="813">
      <c r="J813" s="9"/>
    </row>
    <row r="814">
      <c r="J814" s="9"/>
    </row>
    <row r="815">
      <c r="J815" s="9"/>
    </row>
    <row r="816">
      <c r="J816" s="9"/>
    </row>
    <row r="817">
      <c r="J817" s="9"/>
    </row>
    <row r="818">
      <c r="J818" s="9"/>
    </row>
    <row r="819">
      <c r="J819" s="9"/>
    </row>
    <row r="820">
      <c r="J820" s="9"/>
    </row>
    <row r="821">
      <c r="J821" s="9"/>
    </row>
    <row r="822">
      <c r="J822" s="9"/>
    </row>
    <row r="823">
      <c r="J823" s="9"/>
    </row>
    <row r="824">
      <c r="J824" s="9"/>
    </row>
    <row r="825">
      <c r="J825" s="9"/>
    </row>
    <row r="826">
      <c r="J826" s="9"/>
    </row>
    <row r="827">
      <c r="J827" s="9"/>
    </row>
    <row r="828">
      <c r="J828" s="9"/>
    </row>
    <row r="829">
      <c r="J829" s="9"/>
    </row>
    <row r="830">
      <c r="J830" s="9"/>
    </row>
    <row r="831">
      <c r="J831" s="9"/>
    </row>
    <row r="832">
      <c r="J832" s="9"/>
    </row>
    <row r="833">
      <c r="J833" s="9"/>
    </row>
    <row r="834">
      <c r="J834" s="9"/>
    </row>
    <row r="835">
      <c r="J835" s="9"/>
    </row>
    <row r="836">
      <c r="J836" s="9"/>
    </row>
    <row r="837">
      <c r="J837" s="9"/>
    </row>
    <row r="838">
      <c r="J838" s="9"/>
    </row>
    <row r="839">
      <c r="J839" s="9"/>
    </row>
    <row r="840">
      <c r="J840" s="9"/>
    </row>
    <row r="841">
      <c r="J841" s="9"/>
    </row>
    <row r="842">
      <c r="J842" s="9"/>
    </row>
    <row r="843">
      <c r="J843" s="9"/>
    </row>
    <row r="844">
      <c r="J844" s="9"/>
    </row>
    <row r="845">
      <c r="J845" s="9"/>
    </row>
    <row r="846">
      <c r="J846" s="9"/>
    </row>
    <row r="847">
      <c r="J847" s="9"/>
    </row>
    <row r="848">
      <c r="J848" s="9"/>
    </row>
    <row r="849">
      <c r="J849" s="9"/>
    </row>
    <row r="850">
      <c r="J850" s="9"/>
    </row>
    <row r="851">
      <c r="J851" s="9"/>
    </row>
    <row r="852">
      <c r="J852" s="9"/>
    </row>
    <row r="853">
      <c r="J853" s="9"/>
    </row>
    <row r="854">
      <c r="J854" s="9"/>
    </row>
    <row r="855">
      <c r="J855" s="9"/>
    </row>
    <row r="856">
      <c r="J856" s="9"/>
    </row>
    <row r="857">
      <c r="J857" s="9"/>
    </row>
    <row r="858">
      <c r="J858" s="9"/>
    </row>
    <row r="859">
      <c r="J859" s="9"/>
    </row>
    <row r="860">
      <c r="J860" s="9"/>
    </row>
    <row r="861">
      <c r="J861" s="9"/>
    </row>
    <row r="862">
      <c r="J862" s="9"/>
    </row>
    <row r="863">
      <c r="J863" s="9"/>
    </row>
    <row r="864">
      <c r="J864" s="9"/>
    </row>
    <row r="865">
      <c r="J865" s="9"/>
    </row>
    <row r="866">
      <c r="J866" s="9"/>
    </row>
    <row r="867">
      <c r="J867" s="9"/>
    </row>
    <row r="868">
      <c r="J868" s="9"/>
    </row>
    <row r="869">
      <c r="J869" s="9"/>
    </row>
    <row r="870">
      <c r="J870" s="9"/>
    </row>
    <row r="871">
      <c r="J871" s="9"/>
    </row>
    <row r="872">
      <c r="J872" s="9"/>
    </row>
    <row r="873">
      <c r="J873" s="9"/>
    </row>
    <row r="874">
      <c r="J874" s="9"/>
    </row>
    <row r="875">
      <c r="J875" s="9"/>
    </row>
    <row r="876">
      <c r="J876" s="9"/>
    </row>
    <row r="877">
      <c r="J877" s="9"/>
    </row>
    <row r="878">
      <c r="J878" s="9"/>
    </row>
    <row r="879">
      <c r="J879" s="9"/>
    </row>
    <row r="880">
      <c r="J880" s="9"/>
    </row>
    <row r="881">
      <c r="J881" s="9"/>
    </row>
    <row r="882">
      <c r="J882" s="9"/>
    </row>
    <row r="883">
      <c r="J883" s="9"/>
    </row>
    <row r="884">
      <c r="J884" s="9"/>
    </row>
    <row r="885">
      <c r="J885" s="9"/>
    </row>
    <row r="886">
      <c r="J886" s="9"/>
    </row>
    <row r="887">
      <c r="J887" s="9"/>
    </row>
    <row r="888">
      <c r="J888" s="9"/>
    </row>
    <row r="889">
      <c r="J889" s="9"/>
    </row>
    <row r="890">
      <c r="J890" s="9"/>
    </row>
    <row r="891">
      <c r="J891" s="9"/>
    </row>
    <row r="892">
      <c r="J892" s="9"/>
    </row>
    <row r="893">
      <c r="J893" s="9"/>
    </row>
    <row r="894">
      <c r="J894" s="9"/>
    </row>
    <row r="895">
      <c r="J895" s="9"/>
    </row>
    <row r="896">
      <c r="J896" s="9"/>
    </row>
    <row r="897">
      <c r="J897" s="9"/>
    </row>
    <row r="898">
      <c r="J898" s="9"/>
    </row>
    <row r="899">
      <c r="J899" s="9"/>
    </row>
    <row r="900">
      <c r="J900" s="9"/>
    </row>
    <row r="901">
      <c r="J901" s="9"/>
    </row>
    <row r="902">
      <c r="J902" s="9"/>
    </row>
    <row r="903">
      <c r="J903" s="9"/>
    </row>
    <row r="904">
      <c r="J904" s="9"/>
    </row>
    <row r="905">
      <c r="J905" s="9"/>
    </row>
    <row r="906">
      <c r="J906" s="9"/>
    </row>
    <row r="907">
      <c r="J907" s="9"/>
    </row>
    <row r="908">
      <c r="J908" s="9"/>
    </row>
    <row r="909">
      <c r="J909" s="9"/>
    </row>
    <row r="910">
      <c r="J910" s="9"/>
    </row>
    <row r="911">
      <c r="J911" s="9"/>
    </row>
    <row r="912">
      <c r="J912" s="9"/>
    </row>
    <row r="913">
      <c r="J913" s="9"/>
    </row>
    <row r="914">
      <c r="J914" s="9"/>
    </row>
    <row r="915">
      <c r="J915" s="9"/>
    </row>
    <row r="916">
      <c r="J916" s="9"/>
    </row>
    <row r="917">
      <c r="J917" s="9"/>
    </row>
    <row r="918">
      <c r="J918" s="9"/>
    </row>
    <row r="919">
      <c r="J919" s="9"/>
    </row>
    <row r="920">
      <c r="J920" s="9"/>
    </row>
    <row r="921">
      <c r="J921" s="9"/>
    </row>
    <row r="922">
      <c r="J922" s="9"/>
    </row>
    <row r="923">
      <c r="J923" s="9"/>
    </row>
    <row r="924">
      <c r="J924" s="9"/>
    </row>
    <row r="925">
      <c r="J925" s="9"/>
    </row>
    <row r="926">
      <c r="J926" s="9"/>
    </row>
    <row r="927">
      <c r="J927" s="9"/>
    </row>
    <row r="928">
      <c r="J928" s="9"/>
    </row>
    <row r="929">
      <c r="J929" s="9"/>
    </row>
    <row r="930">
      <c r="J930" s="9"/>
    </row>
    <row r="931">
      <c r="J931" s="9"/>
    </row>
    <row r="932">
      <c r="J932" s="9"/>
    </row>
    <row r="933">
      <c r="J933" s="9"/>
    </row>
    <row r="934">
      <c r="J934" s="9"/>
    </row>
    <row r="935">
      <c r="J935" s="9"/>
    </row>
    <row r="936">
      <c r="J936" s="9"/>
    </row>
    <row r="937">
      <c r="J937" s="9"/>
    </row>
    <row r="938">
      <c r="J938" s="9"/>
    </row>
    <row r="939">
      <c r="J939" s="9"/>
    </row>
    <row r="940">
      <c r="J940" s="9"/>
    </row>
    <row r="941">
      <c r="J941" s="9"/>
    </row>
    <row r="942">
      <c r="J942" s="9"/>
    </row>
    <row r="943">
      <c r="J943" s="9"/>
    </row>
    <row r="944">
      <c r="J944" s="9"/>
    </row>
    <row r="945">
      <c r="J945" s="9"/>
    </row>
    <row r="946">
      <c r="J946" s="9"/>
    </row>
    <row r="947">
      <c r="J947" s="9"/>
    </row>
    <row r="948">
      <c r="J948" s="9"/>
    </row>
    <row r="949">
      <c r="J949" s="9"/>
    </row>
    <row r="950">
      <c r="J950" s="9"/>
    </row>
    <row r="951">
      <c r="J951" s="9"/>
    </row>
    <row r="952">
      <c r="J952" s="9"/>
    </row>
    <row r="953">
      <c r="J953" s="9"/>
    </row>
    <row r="954">
      <c r="J954" s="9"/>
    </row>
    <row r="955">
      <c r="J955" s="9"/>
    </row>
    <row r="956">
      <c r="J956" s="9"/>
    </row>
    <row r="957">
      <c r="J957" s="9"/>
    </row>
    <row r="958">
      <c r="J958" s="9"/>
    </row>
    <row r="959">
      <c r="J959" s="9"/>
    </row>
    <row r="960">
      <c r="J960" s="9"/>
    </row>
    <row r="961">
      <c r="J961" s="9"/>
    </row>
    <row r="962">
      <c r="J962" s="9"/>
    </row>
    <row r="963">
      <c r="J963" s="9"/>
    </row>
    <row r="964">
      <c r="J964" s="9"/>
    </row>
    <row r="965">
      <c r="J965" s="9"/>
    </row>
    <row r="966">
      <c r="J966" s="9"/>
    </row>
    <row r="967">
      <c r="J967" s="9"/>
    </row>
    <row r="968">
      <c r="J968" s="9"/>
    </row>
    <row r="969">
      <c r="J969" s="9"/>
    </row>
    <row r="970">
      <c r="J970" s="9"/>
    </row>
    <row r="971">
      <c r="J971" s="9"/>
    </row>
    <row r="972">
      <c r="J972" s="9"/>
    </row>
    <row r="973">
      <c r="J973" s="9"/>
    </row>
    <row r="974">
      <c r="J974" s="9"/>
    </row>
    <row r="975">
      <c r="J975" s="9"/>
    </row>
    <row r="976">
      <c r="J976" s="9"/>
    </row>
    <row r="977">
      <c r="J977" s="9"/>
    </row>
    <row r="978">
      <c r="J978" s="9"/>
    </row>
    <row r="979">
      <c r="J979" s="9"/>
    </row>
    <row r="980">
      <c r="J980" s="9"/>
    </row>
    <row r="981">
      <c r="J981" s="9"/>
    </row>
    <row r="982">
      <c r="J982" s="9"/>
    </row>
    <row r="983">
      <c r="J983" s="9"/>
    </row>
    <row r="984">
      <c r="J984" s="9"/>
    </row>
    <row r="985">
      <c r="J985" s="9"/>
    </row>
    <row r="986">
      <c r="J986" s="9"/>
    </row>
    <row r="987">
      <c r="J987" s="9"/>
    </row>
    <row r="988">
      <c r="J988" s="9"/>
    </row>
    <row r="989">
      <c r="J989" s="9"/>
    </row>
    <row r="990">
      <c r="J990" s="9"/>
    </row>
    <row r="991">
      <c r="J991" s="9"/>
    </row>
    <row r="992">
      <c r="J992" s="9"/>
    </row>
    <row r="993">
      <c r="J993" s="9"/>
    </row>
    <row r="994">
      <c r="J994" s="9"/>
    </row>
    <row r="995">
      <c r="J995" s="9"/>
    </row>
    <row r="996">
      <c r="J996" s="9"/>
    </row>
    <row r="997">
      <c r="J997" s="9"/>
    </row>
    <row r="998">
      <c r="J998" s="9"/>
    </row>
    <row r="999">
      <c r="J999" s="9"/>
    </row>
    <row r="1000">
      <c r="J1000" s="9"/>
    </row>
    <row r="1001">
      <c r="J1001" s="9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88"/>
    <col customWidth="1" min="3" max="3" width="12.63"/>
    <col customWidth="1" min="4" max="4" width="15.13"/>
  </cols>
  <sheetData>
    <row r="1">
      <c r="A1" s="7" t="s">
        <v>895</v>
      </c>
      <c r="B1" s="7" t="s">
        <v>958</v>
      </c>
      <c r="C1" s="1" t="s">
        <v>972</v>
      </c>
      <c r="D1" s="1" t="s">
        <v>973</v>
      </c>
      <c r="E1" s="1" t="s">
        <v>974</v>
      </c>
      <c r="F1" s="1" t="s">
        <v>975</v>
      </c>
      <c r="G1" s="1" t="s">
        <v>976</v>
      </c>
    </row>
    <row r="2">
      <c r="B2" s="5">
        <v>300050.5900000001</v>
      </c>
      <c r="C2" s="5">
        <f t="shared" ref="C2:C32" si="1">_xlfn.RANK.EQ(B2,B:B)</f>
        <v>1</v>
      </c>
      <c r="D2" s="10">
        <f t="shared" ref="D2:D32" si="2">SUM($B$2:B2)</f>
        <v>300050.59</v>
      </c>
      <c r="E2" s="10">
        <f>sum(B2:B32)</f>
        <v>330425.6</v>
      </c>
      <c r="F2" s="9">
        <f t="shared" ref="F2:F32" si="3">D2/$E$2</f>
        <v>0.908073073</v>
      </c>
      <c r="G2" s="5" t="str">
        <f t="shared" ref="G2:G32" si="4">IF(F2&lt;=0.8,"Top 20%","Others")</f>
        <v>Others</v>
      </c>
    </row>
    <row r="3">
      <c r="A3" s="5" t="s">
        <v>904</v>
      </c>
      <c r="B3" s="5">
        <v>3732.7300000000005</v>
      </c>
      <c r="C3" s="5">
        <f t="shared" si="1"/>
        <v>2</v>
      </c>
      <c r="D3" s="10">
        <f t="shared" si="2"/>
        <v>303783.32</v>
      </c>
      <c r="E3" s="10"/>
      <c r="F3" s="9">
        <f t="shared" si="3"/>
        <v>0.9193698067</v>
      </c>
      <c r="G3" s="5" t="str">
        <f t="shared" si="4"/>
        <v>Others</v>
      </c>
    </row>
    <row r="4">
      <c r="A4" s="5" t="s">
        <v>913</v>
      </c>
      <c r="B4" s="5">
        <v>2814.9700000000003</v>
      </c>
      <c r="C4" s="5">
        <f t="shared" si="1"/>
        <v>3</v>
      </c>
      <c r="D4" s="10">
        <f t="shared" si="2"/>
        <v>306598.29</v>
      </c>
      <c r="E4" s="10"/>
      <c r="F4" s="9">
        <f t="shared" si="3"/>
        <v>0.9278890316</v>
      </c>
      <c r="G4" s="5" t="str">
        <f t="shared" si="4"/>
        <v>Others</v>
      </c>
    </row>
    <row r="5">
      <c r="A5" s="5" t="s">
        <v>901</v>
      </c>
      <c r="B5" s="5">
        <v>1916.78</v>
      </c>
      <c r="C5" s="5">
        <f t="shared" si="1"/>
        <v>4</v>
      </c>
      <c r="D5" s="10">
        <f t="shared" si="2"/>
        <v>308515.07</v>
      </c>
      <c r="E5" s="10"/>
      <c r="F5" s="9">
        <f t="shared" si="3"/>
        <v>0.9336899744</v>
      </c>
      <c r="G5" s="5" t="str">
        <f t="shared" si="4"/>
        <v>Others</v>
      </c>
    </row>
    <row r="6">
      <c r="A6" s="5" t="s">
        <v>917</v>
      </c>
      <c r="B6" s="5">
        <v>1604.9</v>
      </c>
      <c r="C6" s="5">
        <f t="shared" si="1"/>
        <v>5</v>
      </c>
      <c r="D6" s="10">
        <f t="shared" si="2"/>
        <v>310119.97</v>
      </c>
      <c r="E6" s="10"/>
      <c r="F6" s="9">
        <f t="shared" si="3"/>
        <v>0.9385470436</v>
      </c>
      <c r="G6" s="5" t="str">
        <f t="shared" si="4"/>
        <v>Others</v>
      </c>
    </row>
    <row r="7">
      <c r="A7" s="5" t="s">
        <v>922</v>
      </c>
      <c r="B7" s="5">
        <v>1564.5</v>
      </c>
      <c r="C7" s="5">
        <f t="shared" si="1"/>
        <v>6</v>
      </c>
      <c r="D7" s="10">
        <f t="shared" si="2"/>
        <v>311684.47</v>
      </c>
      <c r="E7" s="10"/>
      <c r="F7" s="9">
        <f t="shared" si="3"/>
        <v>0.9432818462</v>
      </c>
      <c r="G7" s="5" t="str">
        <f t="shared" si="4"/>
        <v>Others</v>
      </c>
    </row>
    <row r="8">
      <c r="A8" s="5" t="s">
        <v>896</v>
      </c>
      <c r="B8" s="5">
        <v>1247.8200000000002</v>
      </c>
      <c r="C8" s="5">
        <f t="shared" si="1"/>
        <v>7</v>
      </c>
      <c r="D8" s="10">
        <f t="shared" si="2"/>
        <v>312932.29</v>
      </c>
      <c r="E8" s="10"/>
      <c r="F8" s="9">
        <f t="shared" si="3"/>
        <v>0.9470582485</v>
      </c>
      <c r="G8" s="5" t="str">
        <f t="shared" si="4"/>
        <v>Others</v>
      </c>
    </row>
    <row r="9">
      <c r="A9" s="5" t="s">
        <v>923</v>
      </c>
      <c r="B9" s="5">
        <v>1202.34</v>
      </c>
      <c r="C9" s="5">
        <f t="shared" si="1"/>
        <v>8</v>
      </c>
      <c r="D9" s="10">
        <f t="shared" si="2"/>
        <v>314134.63</v>
      </c>
      <c r="E9" s="10"/>
      <c r="F9" s="9">
        <f t="shared" si="3"/>
        <v>0.9506970102</v>
      </c>
      <c r="G9" s="5" t="str">
        <f t="shared" si="4"/>
        <v>Others</v>
      </c>
    </row>
    <row r="10">
      <c r="A10" s="5" t="s">
        <v>909</v>
      </c>
      <c r="B10" s="5">
        <v>1201.23</v>
      </c>
      <c r="C10" s="5">
        <f t="shared" si="1"/>
        <v>9</v>
      </c>
      <c r="D10" s="10">
        <f t="shared" si="2"/>
        <v>315335.86</v>
      </c>
      <c r="E10" s="10"/>
      <c r="F10" s="9">
        <f t="shared" si="3"/>
        <v>0.9543324125</v>
      </c>
      <c r="G10" s="5" t="str">
        <f t="shared" si="4"/>
        <v>Others</v>
      </c>
    </row>
    <row r="11">
      <c r="A11" s="5" t="s">
        <v>914</v>
      </c>
      <c r="B11" s="5">
        <v>1157.6</v>
      </c>
      <c r="C11" s="5">
        <f t="shared" si="1"/>
        <v>10</v>
      </c>
      <c r="D11" s="10">
        <f t="shared" si="2"/>
        <v>316493.46</v>
      </c>
      <c r="E11" s="10"/>
      <c r="F11" s="9">
        <f t="shared" si="3"/>
        <v>0.957835773</v>
      </c>
      <c r="G11" s="5" t="str">
        <f t="shared" si="4"/>
        <v>Others</v>
      </c>
    </row>
    <row r="12">
      <c r="A12" s="5" t="s">
        <v>915</v>
      </c>
      <c r="B12" s="5">
        <v>1157.52</v>
      </c>
      <c r="C12" s="5">
        <f t="shared" si="1"/>
        <v>11</v>
      </c>
      <c r="D12" s="10">
        <f t="shared" si="2"/>
        <v>317650.98</v>
      </c>
      <c r="E12" s="10"/>
      <c r="F12" s="9">
        <f t="shared" si="3"/>
        <v>0.9613388914</v>
      </c>
      <c r="G12" s="5" t="str">
        <f t="shared" si="4"/>
        <v>Others</v>
      </c>
    </row>
    <row r="13">
      <c r="A13" s="5" t="s">
        <v>912</v>
      </c>
      <c r="B13" s="5">
        <v>1132.67</v>
      </c>
      <c r="C13" s="5">
        <f t="shared" si="1"/>
        <v>12</v>
      </c>
      <c r="D13" s="10">
        <f t="shared" si="2"/>
        <v>318783.65</v>
      </c>
      <c r="E13" s="10"/>
      <c r="F13" s="9">
        <f t="shared" si="3"/>
        <v>0.9647668038</v>
      </c>
      <c r="G13" s="5" t="str">
        <f t="shared" si="4"/>
        <v>Others</v>
      </c>
    </row>
    <row r="14">
      <c r="A14" s="5" t="s">
        <v>907</v>
      </c>
      <c r="B14" s="5">
        <v>1071.26</v>
      </c>
      <c r="C14" s="5">
        <f t="shared" si="1"/>
        <v>13</v>
      </c>
      <c r="D14" s="10">
        <f t="shared" si="2"/>
        <v>319854.91</v>
      </c>
      <c r="E14" s="10"/>
      <c r="F14" s="9">
        <f t="shared" si="3"/>
        <v>0.9680088649</v>
      </c>
      <c r="G14" s="5" t="str">
        <f t="shared" si="4"/>
        <v>Others</v>
      </c>
    </row>
    <row r="15">
      <c r="A15" s="5" t="s">
        <v>897</v>
      </c>
      <c r="B15" s="5">
        <v>1042.75</v>
      </c>
      <c r="C15" s="5">
        <f t="shared" si="1"/>
        <v>14</v>
      </c>
      <c r="D15" s="10">
        <f t="shared" si="2"/>
        <v>320897.66</v>
      </c>
      <c r="E15" s="10"/>
      <c r="F15" s="9">
        <f t="shared" si="3"/>
        <v>0.9711646434</v>
      </c>
      <c r="G15" s="5" t="str">
        <f t="shared" si="4"/>
        <v>Others</v>
      </c>
    </row>
    <row r="16">
      <c r="A16" s="5" t="s">
        <v>925</v>
      </c>
      <c r="B16" s="5">
        <v>971.6500000000001</v>
      </c>
      <c r="C16" s="5">
        <f t="shared" si="1"/>
        <v>15</v>
      </c>
      <c r="D16" s="10">
        <f t="shared" si="2"/>
        <v>321869.31</v>
      </c>
      <c r="E16" s="10"/>
      <c r="F16" s="9">
        <f t="shared" si="3"/>
        <v>0.9741052449</v>
      </c>
      <c r="G16" s="5" t="str">
        <f t="shared" si="4"/>
        <v>Others</v>
      </c>
    </row>
    <row r="17">
      <c r="A17" s="5" t="s">
        <v>920</v>
      </c>
      <c r="B17" s="5">
        <v>918.75</v>
      </c>
      <c r="C17" s="5">
        <f t="shared" si="1"/>
        <v>16</v>
      </c>
      <c r="D17" s="10">
        <f t="shared" si="2"/>
        <v>322788.06</v>
      </c>
      <c r="E17" s="10"/>
      <c r="F17" s="9">
        <f t="shared" si="3"/>
        <v>0.9768857498</v>
      </c>
      <c r="G17" s="5" t="str">
        <f t="shared" si="4"/>
        <v>Others</v>
      </c>
    </row>
    <row r="18">
      <c r="A18" s="5" t="s">
        <v>921</v>
      </c>
      <c r="B18" s="5">
        <v>884.1800000000001</v>
      </c>
      <c r="C18" s="5">
        <f t="shared" si="1"/>
        <v>17</v>
      </c>
      <c r="D18" s="10">
        <f t="shared" si="2"/>
        <v>323672.24</v>
      </c>
      <c r="E18" s="10"/>
      <c r="F18" s="9">
        <f t="shared" si="3"/>
        <v>0.979561632</v>
      </c>
      <c r="G18" s="5" t="str">
        <f t="shared" si="4"/>
        <v>Others</v>
      </c>
    </row>
    <row r="19">
      <c r="A19" s="5" t="s">
        <v>899</v>
      </c>
      <c r="B19" s="5">
        <v>868.14</v>
      </c>
      <c r="C19" s="5">
        <f t="shared" si="1"/>
        <v>18</v>
      </c>
      <c r="D19" s="10">
        <f t="shared" si="2"/>
        <v>324540.38</v>
      </c>
      <c r="E19" s="10"/>
      <c r="F19" s="9">
        <f t="shared" si="3"/>
        <v>0.9821889708</v>
      </c>
      <c r="G19" s="5" t="str">
        <f t="shared" si="4"/>
        <v>Others</v>
      </c>
    </row>
    <row r="20">
      <c r="A20" s="5" t="s">
        <v>903</v>
      </c>
      <c r="B20" s="5">
        <v>812.09</v>
      </c>
      <c r="C20" s="5">
        <f t="shared" si="1"/>
        <v>19</v>
      </c>
      <c r="D20" s="10">
        <f t="shared" si="2"/>
        <v>325352.47</v>
      </c>
      <c r="E20" s="10"/>
      <c r="F20" s="9">
        <f t="shared" si="3"/>
        <v>0.9846466799</v>
      </c>
      <c r="G20" s="5" t="str">
        <f t="shared" si="4"/>
        <v>Others</v>
      </c>
    </row>
    <row r="21">
      <c r="A21" s="5" t="s">
        <v>906</v>
      </c>
      <c r="B21" s="5">
        <v>802.45</v>
      </c>
      <c r="C21" s="5">
        <f t="shared" si="1"/>
        <v>20</v>
      </c>
      <c r="D21" s="10">
        <f t="shared" si="2"/>
        <v>326154.92</v>
      </c>
      <c r="E21" s="10"/>
      <c r="F21" s="9">
        <f t="shared" si="3"/>
        <v>0.9870752145</v>
      </c>
      <c r="G21" s="5" t="str">
        <f t="shared" si="4"/>
        <v>Others</v>
      </c>
    </row>
    <row r="22">
      <c r="A22" s="5" t="s">
        <v>918</v>
      </c>
      <c r="B22" s="5">
        <v>620.29</v>
      </c>
      <c r="C22" s="5">
        <f t="shared" si="1"/>
        <v>21</v>
      </c>
      <c r="D22" s="10">
        <f t="shared" si="2"/>
        <v>326775.21</v>
      </c>
      <c r="E22" s="10"/>
      <c r="F22" s="9">
        <f t="shared" si="3"/>
        <v>0.9889524601</v>
      </c>
      <c r="G22" s="5" t="str">
        <f t="shared" si="4"/>
        <v>Others</v>
      </c>
    </row>
    <row r="23">
      <c r="A23" s="5" t="s">
        <v>902</v>
      </c>
      <c r="B23" s="5">
        <v>603.9</v>
      </c>
      <c r="C23" s="5">
        <f t="shared" si="1"/>
        <v>22</v>
      </c>
      <c r="D23" s="10">
        <f t="shared" si="2"/>
        <v>327379.11</v>
      </c>
      <c r="E23" s="10"/>
      <c r="F23" s="9">
        <f t="shared" si="3"/>
        <v>0.990780103</v>
      </c>
      <c r="G23" s="5" t="str">
        <f t="shared" si="4"/>
        <v>Others</v>
      </c>
    </row>
    <row r="24">
      <c r="A24" s="5" t="s">
        <v>924</v>
      </c>
      <c r="B24" s="5">
        <v>551.17</v>
      </c>
      <c r="C24" s="5">
        <f t="shared" si="1"/>
        <v>23</v>
      </c>
      <c r="D24" s="10">
        <f t="shared" si="2"/>
        <v>327930.28</v>
      </c>
      <c r="E24" s="10"/>
      <c r="F24" s="9">
        <f t="shared" si="3"/>
        <v>0.9924481638</v>
      </c>
      <c r="G24" s="5" t="str">
        <f t="shared" si="4"/>
        <v>Others</v>
      </c>
    </row>
    <row r="25">
      <c r="A25" s="5" t="s">
        <v>900</v>
      </c>
      <c r="B25" s="5">
        <v>543.0</v>
      </c>
      <c r="C25" s="5">
        <f t="shared" si="1"/>
        <v>24</v>
      </c>
      <c r="D25" s="10">
        <f t="shared" si="2"/>
        <v>328473.28</v>
      </c>
      <c r="E25" s="10"/>
      <c r="F25" s="9">
        <f t="shared" si="3"/>
        <v>0.994091499</v>
      </c>
      <c r="G25" s="5" t="str">
        <f t="shared" si="4"/>
        <v>Others</v>
      </c>
    </row>
    <row r="26">
      <c r="A26" s="5" t="s">
        <v>905</v>
      </c>
      <c r="B26" s="5">
        <v>471.47</v>
      </c>
      <c r="C26" s="5">
        <f t="shared" si="1"/>
        <v>25</v>
      </c>
      <c r="D26" s="10">
        <f t="shared" si="2"/>
        <v>328944.75</v>
      </c>
      <c r="E26" s="10"/>
      <c r="F26" s="9">
        <f t="shared" si="3"/>
        <v>0.9955183557</v>
      </c>
      <c r="G26" s="5" t="str">
        <f t="shared" si="4"/>
        <v>Others</v>
      </c>
    </row>
    <row r="27">
      <c r="A27" s="5" t="s">
        <v>911</v>
      </c>
      <c r="B27" s="5">
        <v>410.52</v>
      </c>
      <c r="C27" s="5">
        <f t="shared" si="1"/>
        <v>26</v>
      </c>
      <c r="D27" s="10">
        <f t="shared" si="2"/>
        <v>329355.27</v>
      </c>
      <c r="E27" s="10"/>
      <c r="F27" s="9">
        <f t="shared" si="3"/>
        <v>0.9967607534</v>
      </c>
      <c r="G27" s="5" t="str">
        <f t="shared" si="4"/>
        <v>Others</v>
      </c>
    </row>
    <row r="28">
      <c r="A28" s="5" t="s">
        <v>898</v>
      </c>
      <c r="B28" s="5">
        <v>347.28</v>
      </c>
      <c r="C28" s="5">
        <f t="shared" si="1"/>
        <v>27</v>
      </c>
      <c r="D28" s="10">
        <f t="shared" si="2"/>
        <v>329702.55</v>
      </c>
      <c r="E28" s="10"/>
      <c r="F28" s="9">
        <f t="shared" si="3"/>
        <v>0.9978117616</v>
      </c>
      <c r="G28" s="5" t="str">
        <f t="shared" si="4"/>
        <v>Others</v>
      </c>
    </row>
    <row r="29">
      <c r="A29" s="5" t="s">
        <v>908</v>
      </c>
      <c r="B29" s="5">
        <v>273.8</v>
      </c>
      <c r="C29" s="5">
        <f t="shared" si="1"/>
        <v>28</v>
      </c>
      <c r="D29" s="10">
        <f t="shared" si="2"/>
        <v>329976.35</v>
      </c>
      <c r="E29" s="10"/>
      <c r="F29" s="9">
        <f t="shared" si="3"/>
        <v>0.9986403898</v>
      </c>
      <c r="G29" s="5" t="str">
        <f t="shared" si="4"/>
        <v>Others</v>
      </c>
    </row>
    <row r="30">
      <c r="A30" s="5" t="s">
        <v>910</v>
      </c>
      <c r="B30" s="5">
        <v>226.23</v>
      </c>
      <c r="C30" s="5">
        <f t="shared" si="1"/>
        <v>29</v>
      </c>
      <c r="D30" s="10">
        <f t="shared" si="2"/>
        <v>330202.58</v>
      </c>
      <c r="E30" s="10"/>
      <c r="F30" s="9">
        <f t="shared" si="3"/>
        <v>0.9993250523</v>
      </c>
      <c r="G30" s="5" t="str">
        <f t="shared" si="4"/>
        <v>Others</v>
      </c>
    </row>
    <row r="31">
      <c r="A31" s="5" t="s">
        <v>916</v>
      </c>
      <c r="B31" s="5">
        <v>118.36</v>
      </c>
      <c r="C31" s="5">
        <f t="shared" si="1"/>
        <v>30</v>
      </c>
      <c r="D31" s="10">
        <f t="shared" si="2"/>
        <v>330320.94</v>
      </c>
      <c r="E31" s="10"/>
      <c r="F31" s="9">
        <f t="shared" si="3"/>
        <v>0.999683257</v>
      </c>
      <c r="G31" s="5" t="str">
        <f t="shared" si="4"/>
        <v>Others</v>
      </c>
    </row>
    <row r="32">
      <c r="A32" s="5" t="s">
        <v>919</v>
      </c>
      <c r="B32" s="5">
        <v>104.66</v>
      </c>
      <c r="C32" s="5">
        <f t="shared" si="1"/>
        <v>31</v>
      </c>
      <c r="D32" s="10">
        <f t="shared" si="2"/>
        <v>330425.6</v>
      </c>
      <c r="E32" s="10"/>
      <c r="F32" s="9">
        <f t="shared" si="3"/>
        <v>1</v>
      </c>
      <c r="G32" s="5" t="str">
        <f t="shared" si="4"/>
        <v>Others</v>
      </c>
    </row>
    <row r="33">
      <c r="D33" s="10"/>
      <c r="E33" s="10"/>
      <c r="F33" s="9"/>
    </row>
    <row r="34">
      <c r="D34" s="10"/>
      <c r="E34" s="10"/>
      <c r="F34" s="9"/>
    </row>
    <row r="35">
      <c r="D35" s="10"/>
      <c r="E35" s="10"/>
      <c r="F35" s="9"/>
    </row>
    <row r="36">
      <c r="D36" s="10"/>
      <c r="E36" s="10"/>
      <c r="F36" s="9"/>
    </row>
    <row r="37">
      <c r="D37" s="10"/>
      <c r="E37" s="10"/>
      <c r="F37" s="9"/>
    </row>
    <row r="38">
      <c r="D38" s="10"/>
      <c r="E38" s="10"/>
      <c r="F38" s="9"/>
    </row>
    <row r="39">
      <c r="D39" s="10"/>
      <c r="E39" s="10"/>
      <c r="F39" s="9"/>
    </row>
    <row r="40">
      <c r="D40" s="10"/>
      <c r="E40" s="10"/>
      <c r="F40" s="9"/>
    </row>
    <row r="41">
      <c r="D41" s="10"/>
      <c r="E41" s="10"/>
      <c r="F41" s="9"/>
    </row>
    <row r="42">
      <c r="D42" s="10"/>
      <c r="E42" s="10"/>
      <c r="F42" s="9"/>
    </row>
    <row r="43">
      <c r="D43" s="10"/>
      <c r="E43" s="10"/>
      <c r="F43" s="9"/>
    </row>
    <row r="44">
      <c r="D44" s="10"/>
      <c r="E44" s="10"/>
      <c r="F44" s="9"/>
    </row>
    <row r="45">
      <c r="D45" s="10"/>
      <c r="E45" s="10"/>
      <c r="F45" s="9"/>
    </row>
    <row r="46">
      <c r="D46" s="10"/>
      <c r="E46" s="10"/>
      <c r="F46" s="9"/>
    </row>
    <row r="47">
      <c r="D47" s="10"/>
      <c r="E47" s="10"/>
      <c r="F47" s="9"/>
    </row>
    <row r="48">
      <c r="D48" s="10"/>
      <c r="E48" s="10"/>
      <c r="F48" s="9"/>
    </row>
    <row r="49">
      <c r="D49" s="10"/>
      <c r="E49" s="10"/>
      <c r="F49" s="9"/>
    </row>
    <row r="50">
      <c r="D50" s="10"/>
      <c r="E50" s="10"/>
      <c r="F50" s="9"/>
    </row>
    <row r="51">
      <c r="D51" s="10"/>
      <c r="E51" s="10"/>
      <c r="F51" s="9"/>
    </row>
    <row r="52">
      <c r="D52" s="10"/>
      <c r="E52" s="10"/>
      <c r="F52" s="9"/>
    </row>
    <row r="53">
      <c r="D53" s="10"/>
      <c r="E53" s="10"/>
      <c r="F53" s="9"/>
    </row>
    <row r="54">
      <c r="D54" s="10"/>
      <c r="E54" s="10"/>
      <c r="F54" s="9"/>
    </row>
    <row r="55">
      <c r="D55" s="10"/>
      <c r="E55" s="10"/>
      <c r="F55" s="9"/>
    </row>
    <row r="56">
      <c r="D56" s="10"/>
      <c r="E56" s="10"/>
      <c r="F56" s="9"/>
    </row>
    <row r="57">
      <c r="D57" s="10"/>
      <c r="E57" s="10"/>
      <c r="F57" s="9"/>
    </row>
    <row r="58">
      <c r="D58" s="10"/>
      <c r="E58" s="10"/>
      <c r="F58" s="9"/>
    </row>
    <row r="59">
      <c r="D59" s="10"/>
      <c r="E59" s="10"/>
      <c r="F59" s="9"/>
    </row>
    <row r="60">
      <c r="D60" s="10"/>
      <c r="E60" s="10"/>
      <c r="F60" s="9"/>
    </row>
    <row r="61">
      <c r="D61" s="10"/>
      <c r="E61" s="10"/>
      <c r="F61" s="9"/>
    </row>
    <row r="62">
      <c r="D62" s="10"/>
      <c r="E62" s="10"/>
      <c r="F62" s="9"/>
    </row>
    <row r="63">
      <c r="D63" s="10"/>
      <c r="E63" s="10"/>
      <c r="F63" s="9"/>
    </row>
    <row r="64">
      <c r="D64" s="10"/>
      <c r="E64" s="10"/>
      <c r="F64" s="9"/>
    </row>
    <row r="65">
      <c r="D65" s="10"/>
      <c r="E65" s="10"/>
      <c r="F65" s="9"/>
    </row>
    <row r="66">
      <c r="D66" s="10"/>
      <c r="E66" s="10"/>
      <c r="F66" s="9"/>
    </row>
    <row r="67">
      <c r="D67" s="10"/>
      <c r="E67" s="10"/>
      <c r="F67" s="9"/>
    </row>
    <row r="68">
      <c r="D68" s="10"/>
      <c r="E68" s="10"/>
      <c r="F68" s="9"/>
    </row>
    <row r="69">
      <c r="D69" s="10"/>
      <c r="E69" s="10"/>
      <c r="F69" s="9"/>
    </row>
    <row r="70">
      <c r="D70" s="10"/>
      <c r="E70" s="10"/>
      <c r="F70" s="9"/>
    </row>
    <row r="71">
      <c r="D71" s="10"/>
      <c r="E71" s="10"/>
      <c r="F71" s="9"/>
    </row>
    <row r="72">
      <c r="D72" s="10"/>
      <c r="E72" s="10"/>
      <c r="F72" s="9"/>
    </row>
    <row r="73">
      <c r="D73" s="10"/>
      <c r="E73" s="10"/>
      <c r="F73" s="9"/>
    </row>
    <row r="74">
      <c r="D74" s="10"/>
      <c r="E74" s="10"/>
      <c r="F74" s="9"/>
    </row>
    <row r="75">
      <c r="D75" s="10"/>
      <c r="E75" s="10"/>
      <c r="F75" s="9"/>
    </row>
    <row r="76">
      <c r="D76" s="10"/>
      <c r="E76" s="10"/>
      <c r="F76" s="9"/>
    </row>
    <row r="77">
      <c r="D77" s="10"/>
      <c r="E77" s="10"/>
      <c r="F77" s="9"/>
    </row>
    <row r="78">
      <c r="D78" s="10"/>
      <c r="E78" s="10"/>
      <c r="F78" s="9"/>
    </row>
    <row r="79">
      <c r="D79" s="10"/>
      <c r="E79" s="10"/>
      <c r="F79" s="9"/>
    </row>
    <row r="80">
      <c r="D80" s="10"/>
      <c r="E80" s="10"/>
      <c r="F80" s="9"/>
    </row>
    <row r="81">
      <c r="D81" s="10"/>
      <c r="E81" s="10"/>
      <c r="F81" s="9"/>
    </row>
    <row r="82">
      <c r="D82" s="10"/>
      <c r="E82" s="10"/>
      <c r="F82" s="9"/>
    </row>
    <row r="83">
      <c r="D83" s="10"/>
      <c r="E83" s="10"/>
      <c r="F83" s="9"/>
    </row>
    <row r="84">
      <c r="D84" s="10"/>
      <c r="E84" s="10"/>
      <c r="F84" s="9"/>
    </row>
    <row r="85">
      <c r="D85" s="10"/>
      <c r="E85" s="10"/>
      <c r="F85" s="9"/>
    </row>
    <row r="86">
      <c r="D86" s="10"/>
      <c r="E86" s="10"/>
      <c r="F86" s="9"/>
    </row>
    <row r="87">
      <c r="D87" s="10"/>
      <c r="E87" s="10"/>
      <c r="F87" s="9"/>
    </row>
    <row r="88">
      <c r="D88" s="10"/>
      <c r="E88" s="10"/>
      <c r="F88" s="9"/>
    </row>
    <row r="89">
      <c r="D89" s="10"/>
      <c r="E89" s="10"/>
      <c r="F89" s="9"/>
    </row>
    <row r="90">
      <c r="D90" s="10"/>
      <c r="E90" s="10"/>
      <c r="F90" s="9"/>
    </row>
    <row r="91">
      <c r="D91" s="10"/>
      <c r="E91" s="10"/>
      <c r="F91" s="9"/>
    </row>
    <row r="92">
      <c r="D92" s="10"/>
      <c r="E92" s="10"/>
      <c r="F92" s="9"/>
    </row>
    <row r="93">
      <c r="D93" s="10"/>
      <c r="E93" s="10"/>
      <c r="F93" s="9"/>
    </row>
    <row r="94">
      <c r="D94" s="10"/>
      <c r="E94" s="10"/>
      <c r="F94" s="9"/>
    </row>
    <row r="95">
      <c r="D95" s="10"/>
      <c r="E95" s="10"/>
      <c r="F95" s="9"/>
    </row>
    <row r="96">
      <c r="D96" s="10"/>
      <c r="E96" s="10"/>
      <c r="F96" s="9"/>
    </row>
    <row r="97">
      <c r="D97" s="10"/>
      <c r="E97" s="10"/>
      <c r="F97" s="9"/>
    </row>
    <row r="98">
      <c r="D98" s="10"/>
      <c r="E98" s="10"/>
      <c r="F98" s="9"/>
    </row>
    <row r="99">
      <c r="D99" s="10"/>
      <c r="E99" s="10"/>
      <c r="F99" s="9"/>
    </row>
    <row r="100">
      <c r="D100" s="10"/>
      <c r="E100" s="10"/>
      <c r="F100" s="9"/>
    </row>
    <row r="101">
      <c r="D101" s="10"/>
      <c r="E101" s="10"/>
      <c r="F101" s="9"/>
    </row>
    <row r="102">
      <c r="D102" s="10"/>
      <c r="E102" s="10"/>
      <c r="F102" s="9"/>
    </row>
    <row r="103">
      <c r="D103" s="10"/>
      <c r="E103" s="10"/>
      <c r="F103" s="9"/>
    </row>
    <row r="104">
      <c r="D104" s="10"/>
      <c r="E104" s="10"/>
      <c r="F104" s="9"/>
    </row>
    <row r="105">
      <c r="D105" s="10"/>
      <c r="E105" s="10"/>
      <c r="F105" s="9"/>
    </row>
    <row r="106">
      <c r="D106" s="10"/>
      <c r="E106" s="10"/>
      <c r="F106" s="9"/>
    </row>
    <row r="107">
      <c r="D107" s="10"/>
      <c r="E107" s="10"/>
      <c r="F107" s="9"/>
    </row>
    <row r="108">
      <c r="D108" s="10"/>
      <c r="E108" s="10"/>
      <c r="F108" s="9"/>
    </row>
    <row r="109">
      <c r="D109" s="10"/>
      <c r="E109" s="10"/>
      <c r="F109" s="9"/>
    </row>
    <row r="110">
      <c r="D110" s="10"/>
      <c r="E110" s="10"/>
      <c r="F110" s="9"/>
    </row>
    <row r="111">
      <c r="D111" s="10"/>
      <c r="E111" s="10"/>
      <c r="F111" s="9"/>
    </row>
    <row r="112">
      <c r="D112" s="10"/>
      <c r="E112" s="10"/>
      <c r="F112" s="9"/>
    </row>
    <row r="113">
      <c r="D113" s="10"/>
      <c r="E113" s="10"/>
      <c r="F113" s="9"/>
    </row>
    <row r="114">
      <c r="D114" s="10"/>
      <c r="E114" s="10"/>
      <c r="F114" s="9"/>
    </row>
    <row r="115">
      <c r="D115" s="10"/>
      <c r="E115" s="10"/>
      <c r="F115" s="9"/>
    </row>
    <row r="116">
      <c r="D116" s="10"/>
      <c r="E116" s="10"/>
      <c r="F116" s="9"/>
    </row>
    <row r="117">
      <c r="D117" s="10"/>
      <c r="E117" s="10"/>
      <c r="F117" s="9"/>
    </row>
    <row r="118">
      <c r="D118" s="10"/>
      <c r="E118" s="10"/>
      <c r="F118" s="9"/>
    </row>
    <row r="119">
      <c r="D119" s="10"/>
      <c r="E119" s="10"/>
      <c r="F119" s="9"/>
    </row>
    <row r="120">
      <c r="D120" s="10"/>
      <c r="E120" s="10"/>
      <c r="F120" s="9"/>
    </row>
    <row r="121">
      <c r="D121" s="10"/>
      <c r="E121" s="10"/>
      <c r="F121" s="9"/>
    </row>
    <row r="122">
      <c r="D122" s="10"/>
      <c r="E122" s="10"/>
      <c r="F122" s="9"/>
    </row>
    <row r="123">
      <c r="D123" s="10"/>
      <c r="E123" s="10"/>
      <c r="F123" s="9"/>
    </row>
    <row r="124">
      <c r="D124" s="10"/>
      <c r="E124" s="10"/>
      <c r="F124" s="9"/>
    </row>
    <row r="125">
      <c r="D125" s="10"/>
      <c r="E125" s="10"/>
      <c r="F125" s="9"/>
    </row>
    <row r="126">
      <c r="D126" s="10"/>
      <c r="E126" s="10"/>
      <c r="F126" s="9"/>
    </row>
    <row r="127">
      <c r="D127" s="10"/>
      <c r="E127" s="10"/>
      <c r="F127" s="9"/>
    </row>
    <row r="128">
      <c r="D128" s="10"/>
      <c r="E128" s="10"/>
      <c r="F128" s="9"/>
    </row>
    <row r="129">
      <c r="D129" s="10"/>
      <c r="E129" s="10"/>
      <c r="F129" s="9"/>
    </row>
    <row r="130">
      <c r="D130" s="10"/>
      <c r="E130" s="10"/>
      <c r="F130" s="9"/>
    </row>
    <row r="131">
      <c r="D131" s="10"/>
      <c r="E131" s="10"/>
      <c r="F131" s="9"/>
    </row>
    <row r="132">
      <c r="D132" s="10"/>
      <c r="E132" s="10"/>
      <c r="F132" s="9"/>
    </row>
    <row r="133">
      <c r="D133" s="10"/>
      <c r="E133" s="10"/>
      <c r="F133" s="9"/>
    </row>
    <row r="134">
      <c r="D134" s="10"/>
      <c r="E134" s="10"/>
      <c r="F134" s="9"/>
    </row>
    <row r="135">
      <c r="D135" s="10"/>
      <c r="E135" s="10"/>
      <c r="F135" s="9"/>
    </row>
    <row r="136">
      <c r="D136" s="10"/>
      <c r="E136" s="10"/>
      <c r="F136" s="9"/>
    </row>
    <row r="137">
      <c r="D137" s="10"/>
      <c r="E137" s="10"/>
      <c r="F137" s="9"/>
    </row>
    <row r="138">
      <c r="D138" s="10"/>
      <c r="E138" s="10"/>
      <c r="F138" s="9"/>
    </row>
    <row r="139">
      <c r="D139" s="10"/>
      <c r="E139" s="10"/>
      <c r="F139" s="9"/>
    </row>
    <row r="140">
      <c r="D140" s="10"/>
      <c r="E140" s="10"/>
      <c r="F140" s="9"/>
    </row>
    <row r="141">
      <c r="D141" s="10"/>
      <c r="E141" s="10"/>
      <c r="F141" s="9"/>
    </row>
    <row r="142">
      <c r="D142" s="10"/>
      <c r="E142" s="10"/>
      <c r="F142" s="9"/>
    </row>
    <row r="143">
      <c r="D143" s="10"/>
      <c r="E143" s="10"/>
      <c r="F143" s="9"/>
    </row>
    <row r="144">
      <c r="D144" s="10"/>
      <c r="E144" s="10"/>
      <c r="F144" s="9"/>
    </row>
    <row r="145">
      <c r="D145" s="10"/>
      <c r="E145" s="10"/>
      <c r="F145" s="9"/>
    </row>
    <row r="146">
      <c r="D146" s="10"/>
      <c r="E146" s="10"/>
      <c r="F146" s="9"/>
    </row>
    <row r="147">
      <c r="D147" s="10"/>
      <c r="E147" s="10"/>
      <c r="F147" s="9"/>
    </row>
    <row r="148">
      <c r="D148" s="10"/>
      <c r="E148" s="10"/>
      <c r="F148" s="9"/>
    </row>
    <row r="149">
      <c r="D149" s="10"/>
      <c r="E149" s="10"/>
      <c r="F149" s="9"/>
    </row>
    <row r="150">
      <c r="D150" s="10"/>
      <c r="E150" s="10"/>
      <c r="F150" s="9"/>
    </row>
    <row r="151">
      <c r="D151" s="10"/>
      <c r="E151" s="10"/>
      <c r="F151" s="9"/>
    </row>
    <row r="152">
      <c r="D152" s="10"/>
      <c r="E152" s="10"/>
      <c r="F152" s="9"/>
    </row>
    <row r="153">
      <c r="D153" s="10"/>
      <c r="E153" s="10"/>
      <c r="F153" s="9"/>
    </row>
    <row r="154">
      <c r="D154" s="10"/>
      <c r="E154" s="10"/>
      <c r="F154" s="9"/>
    </row>
    <row r="155">
      <c r="D155" s="10"/>
      <c r="E155" s="10"/>
      <c r="F155" s="9"/>
    </row>
    <row r="156">
      <c r="D156" s="10"/>
      <c r="E156" s="10"/>
      <c r="F156" s="9"/>
    </row>
    <row r="157">
      <c r="D157" s="10"/>
      <c r="E157" s="10"/>
      <c r="F157" s="9"/>
    </row>
    <row r="158">
      <c r="D158" s="10"/>
      <c r="E158" s="10"/>
      <c r="F158" s="9"/>
    </row>
    <row r="159">
      <c r="D159" s="10"/>
      <c r="E159" s="10"/>
      <c r="F159" s="9"/>
    </row>
    <row r="160">
      <c r="D160" s="10"/>
      <c r="E160" s="10"/>
      <c r="F160" s="9"/>
    </row>
    <row r="161">
      <c r="D161" s="10"/>
      <c r="E161" s="10"/>
      <c r="F161" s="9"/>
    </row>
    <row r="162">
      <c r="D162" s="10"/>
      <c r="E162" s="10"/>
      <c r="F162" s="9"/>
    </row>
    <row r="163">
      <c r="D163" s="10"/>
      <c r="E163" s="10"/>
      <c r="F163" s="9"/>
    </row>
    <row r="164">
      <c r="D164" s="10"/>
      <c r="E164" s="10"/>
      <c r="F164" s="9"/>
    </row>
    <row r="165">
      <c r="D165" s="10"/>
      <c r="E165" s="10"/>
      <c r="F165" s="9"/>
    </row>
    <row r="166">
      <c r="D166" s="10"/>
      <c r="E166" s="10"/>
      <c r="F166" s="9"/>
    </row>
    <row r="167">
      <c r="D167" s="10"/>
      <c r="E167" s="10"/>
      <c r="F167" s="9"/>
    </row>
    <row r="168">
      <c r="D168" s="10"/>
      <c r="E168" s="10"/>
      <c r="F168" s="9"/>
    </row>
    <row r="169">
      <c r="D169" s="10"/>
      <c r="E169" s="10"/>
      <c r="F169" s="9"/>
    </row>
    <row r="170">
      <c r="D170" s="10"/>
      <c r="E170" s="10"/>
      <c r="F170" s="9"/>
    </row>
    <row r="171">
      <c r="D171" s="10"/>
      <c r="E171" s="10"/>
      <c r="F171" s="9"/>
    </row>
    <row r="172">
      <c r="D172" s="10"/>
      <c r="E172" s="10"/>
      <c r="F172" s="9"/>
    </row>
    <row r="173">
      <c r="D173" s="10"/>
      <c r="E173" s="10"/>
      <c r="F173" s="9"/>
    </row>
    <row r="174">
      <c r="D174" s="10"/>
      <c r="E174" s="10"/>
      <c r="F174" s="9"/>
    </row>
    <row r="175">
      <c r="D175" s="10"/>
      <c r="E175" s="10"/>
      <c r="F175" s="9"/>
    </row>
    <row r="176">
      <c r="D176" s="10"/>
      <c r="E176" s="10"/>
      <c r="F176" s="9"/>
    </row>
    <row r="177">
      <c r="D177" s="10"/>
      <c r="E177" s="10"/>
      <c r="F177" s="9"/>
    </row>
    <row r="178">
      <c r="D178" s="10"/>
      <c r="E178" s="10"/>
      <c r="F178" s="9"/>
    </row>
    <row r="179">
      <c r="D179" s="10"/>
      <c r="E179" s="10"/>
      <c r="F179" s="9"/>
    </row>
    <row r="180">
      <c r="D180" s="10"/>
      <c r="E180" s="10"/>
      <c r="F180" s="9"/>
    </row>
    <row r="181">
      <c r="D181" s="10"/>
      <c r="E181" s="10"/>
      <c r="F181" s="9"/>
    </row>
    <row r="182">
      <c r="D182" s="10"/>
      <c r="E182" s="10"/>
      <c r="F182" s="9"/>
    </row>
    <row r="183">
      <c r="D183" s="10"/>
      <c r="E183" s="10"/>
      <c r="F183" s="9"/>
    </row>
    <row r="184">
      <c r="D184" s="10"/>
      <c r="E184" s="10"/>
      <c r="F184" s="9"/>
    </row>
    <row r="185">
      <c r="D185" s="10"/>
      <c r="E185" s="10"/>
      <c r="F185" s="9"/>
    </row>
    <row r="186">
      <c r="D186" s="10"/>
      <c r="E186" s="10"/>
      <c r="F186" s="9"/>
    </row>
    <row r="187">
      <c r="D187" s="10"/>
      <c r="E187" s="10"/>
      <c r="F187" s="9"/>
    </row>
    <row r="188">
      <c r="D188" s="10"/>
      <c r="E188" s="10"/>
      <c r="F188" s="9"/>
    </row>
    <row r="189">
      <c r="D189" s="10"/>
      <c r="E189" s="10"/>
      <c r="F189" s="9"/>
    </row>
    <row r="190">
      <c r="D190" s="10"/>
      <c r="E190" s="10"/>
      <c r="F190" s="9"/>
    </row>
    <row r="191">
      <c r="D191" s="10"/>
      <c r="E191" s="10"/>
      <c r="F191" s="9"/>
    </row>
    <row r="192">
      <c r="D192" s="10"/>
      <c r="E192" s="10"/>
      <c r="F192" s="9"/>
    </row>
    <row r="193">
      <c r="D193" s="10"/>
      <c r="E193" s="10"/>
      <c r="F193" s="9"/>
    </row>
    <row r="194">
      <c r="D194" s="10"/>
      <c r="E194" s="10"/>
      <c r="F194" s="9"/>
    </row>
    <row r="195">
      <c r="D195" s="10"/>
      <c r="E195" s="10"/>
      <c r="F195" s="9"/>
    </row>
    <row r="196">
      <c r="D196" s="10"/>
      <c r="E196" s="10"/>
      <c r="F196" s="9"/>
    </row>
    <row r="197">
      <c r="D197" s="10"/>
      <c r="E197" s="10"/>
      <c r="F197" s="9"/>
    </row>
    <row r="198">
      <c r="D198" s="10"/>
      <c r="E198" s="10"/>
      <c r="F198" s="9"/>
    </row>
    <row r="199">
      <c r="D199" s="10"/>
      <c r="E199" s="10"/>
      <c r="F199" s="9"/>
    </row>
    <row r="200">
      <c r="D200" s="10"/>
      <c r="E200" s="10"/>
      <c r="F200" s="9"/>
    </row>
    <row r="201">
      <c r="D201" s="10"/>
      <c r="E201" s="10"/>
      <c r="F201" s="9"/>
    </row>
    <row r="202">
      <c r="D202" s="10"/>
      <c r="E202" s="10"/>
      <c r="F202" s="9"/>
    </row>
    <row r="203">
      <c r="D203" s="10"/>
      <c r="E203" s="10"/>
      <c r="F203" s="9"/>
    </row>
    <row r="204">
      <c r="D204" s="10"/>
      <c r="E204" s="10"/>
      <c r="F204" s="9"/>
    </row>
    <row r="205">
      <c r="D205" s="10"/>
      <c r="E205" s="10"/>
      <c r="F205" s="9"/>
    </row>
    <row r="206">
      <c r="D206" s="10"/>
      <c r="E206" s="10"/>
      <c r="F206" s="9"/>
    </row>
    <row r="207">
      <c r="D207" s="10"/>
      <c r="E207" s="10"/>
      <c r="F207" s="9"/>
    </row>
    <row r="208">
      <c r="D208" s="10"/>
      <c r="E208" s="10"/>
      <c r="F208" s="9"/>
    </row>
    <row r="209">
      <c r="D209" s="10"/>
      <c r="E209" s="10"/>
      <c r="F209" s="9"/>
    </row>
    <row r="210">
      <c r="D210" s="10"/>
      <c r="E210" s="10"/>
      <c r="F210" s="9"/>
    </row>
    <row r="211">
      <c r="D211" s="10"/>
      <c r="E211" s="10"/>
      <c r="F211" s="9"/>
    </row>
    <row r="212">
      <c r="D212" s="10"/>
      <c r="E212" s="10"/>
      <c r="F212" s="9"/>
    </row>
    <row r="213">
      <c r="D213" s="10"/>
      <c r="E213" s="10"/>
      <c r="F213" s="9"/>
    </row>
    <row r="214">
      <c r="D214" s="10"/>
      <c r="E214" s="10"/>
      <c r="F214" s="9"/>
    </row>
    <row r="215">
      <c r="D215" s="10"/>
      <c r="E215" s="10"/>
      <c r="F215" s="9"/>
    </row>
    <row r="216">
      <c r="D216" s="10"/>
      <c r="E216" s="10"/>
      <c r="F216" s="9"/>
    </row>
    <row r="217">
      <c r="D217" s="10"/>
      <c r="E217" s="10"/>
      <c r="F217" s="9"/>
    </row>
    <row r="218">
      <c r="D218" s="10"/>
      <c r="E218" s="10"/>
      <c r="F218" s="9"/>
    </row>
    <row r="219">
      <c r="D219" s="10"/>
      <c r="E219" s="10"/>
      <c r="F219" s="9"/>
    </row>
    <row r="220">
      <c r="D220" s="10"/>
      <c r="E220" s="10"/>
      <c r="F220" s="9"/>
    </row>
    <row r="221">
      <c r="D221" s="10"/>
      <c r="E221" s="10"/>
      <c r="F221" s="9"/>
    </row>
    <row r="222">
      <c r="D222" s="10"/>
      <c r="E222" s="10"/>
      <c r="F222" s="9"/>
    </row>
    <row r="223">
      <c r="D223" s="10"/>
      <c r="E223" s="10"/>
      <c r="F223" s="9"/>
    </row>
    <row r="224">
      <c r="D224" s="10"/>
      <c r="E224" s="10"/>
      <c r="F224" s="9"/>
    </row>
    <row r="225">
      <c r="D225" s="10"/>
      <c r="E225" s="10"/>
      <c r="F225" s="9"/>
    </row>
    <row r="226">
      <c r="D226" s="10"/>
      <c r="E226" s="10"/>
      <c r="F226" s="9"/>
    </row>
    <row r="227">
      <c r="D227" s="10"/>
      <c r="E227" s="10"/>
      <c r="F227" s="9"/>
    </row>
    <row r="228">
      <c r="D228" s="10"/>
      <c r="E228" s="10"/>
      <c r="F228" s="9"/>
    </row>
    <row r="229">
      <c r="D229" s="10"/>
      <c r="E229" s="10"/>
      <c r="F229" s="9"/>
    </row>
    <row r="230">
      <c r="D230" s="10"/>
      <c r="E230" s="10"/>
      <c r="F230" s="9"/>
    </row>
    <row r="231">
      <c r="D231" s="10"/>
      <c r="E231" s="10"/>
      <c r="F231" s="9"/>
    </row>
    <row r="232">
      <c r="D232" s="10"/>
      <c r="E232" s="10"/>
      <c r="F232" s="9"/>
    </row>
    <row r="233">
      <c r="D233" s="10"/>
      <c r="E233" s="10"/>
      <c r="F233" s="9"/>
    </row>
    <row r="234">
      <c r="D234" s="10"/>
      <c r="E234" s="10"/>
      <c r="F234" s="9"/>
    </row>
    <row r="235">
      <c r="D235" s="10"/>
      <c r="E235" s="10"/>
      <c r="F235" s="9"/>
    </row>
    <row r="236">
      <c r="D236" s="10"/>
      <c r="E236" s="10"/>
      <c r="F236" s="9"/>
    </row>
    <row r="237">
      <c r="D237" s="10"/>
      <c r="E237" s="10"/>
      <c r="F237" s="9"/>
    </row>
    <row r="238">
      <c r="D238" s="10"/>
      <c r="E238" s="10"/>
      <c r="F238" s="9"/>
    </row>
    <row r="239">
      <c r="D239" s="10"/>
      <c r="E239" s="10"/>
      <c r="F239" s="9"/>
    </row>
    <row r="240">
      <c r="D240" s="10"/>
      <c r="E240" s="10"/>
      <c r="F240" s="9"/>
    </row>
    <row r="241">
      <c r="D241" s="10"/>
      <c r="E241" s="10"/>
      <c r="F241" s="9"/>
    </row>
    <row r="242">
      <c r="D242" s="10"/>
      <c r="E242" s="10"/>
      <c r="F242" s="9"/>
    </row>
    <row r="243">
      <c r="D243" s="10"/>
      <c r="E243" s="10"/>
      <c r="F243" s="9"/>
    </row>
    <row r="244">
      <c r="D244" s="10"/>
      <c r="E244" s="10"/>
      <c r="F244" s="9"/>
    </row>
    <row r="245">
      <c r="D245" s="10"/>
      <c r="E245" s="10"/>
      <c r="F245" s="9"/>
    </row>
    <row r="246">
      <c r="D246" s="10"/>
      <c r="E246" s="10"/>
      <c r="F246" s="9"/>
    </row>
    <row r="247">
      <c r="D247" s="10"/>
      <c r="E247" s="10"/>
      <c r="F247" s="9"/>
    </row>
    <row r="248">
      <c r="D248" s="10"/>
      <c r="E248" s="10"/>
      <c r="F248" s="9"/>
    </row>
    <row r="249">
      <c r="D249" s="10"/>
      <c r="E249" s="10"/>
      <c r="F249" s="9"/>
    </row>
    <row r="250">
      <c r="D250" s="10"/>
      <c r="E250" s="10"/>
      <c r="F250" s="9"/>
    </row>
    <row r="251">
      <c r="D251" s="10"/>
      <c r="E251" s="10"/>
      <c r="F251" s="9"/>
    </row>
    <row r="252">
      <c r="D252" s="10"/>
      <c r="E252" s="10"/>
      <c r="F252" s="9"/>
    </row>
    <row r="253">
      <c r="D253" s="10"/>
      <c r="E253" s="10"/>
      <c r="F253" s="9"/>
    </row>
    <row r="254">
      <c r="D254" s="10"/>
      <c r="E254" s="10"/>
      <c r="F254" s="9"/>
    </row>
    <row r="255">
      <c r="D255" s="10"/>
      <c r="E255" s="10"/>
      <c r="F255" s="9"/>
    </row>
    <row r="256">
      <c r="D256" s="10"/>
      <c r="E256" s="10"/>
      <c r="F256" s="9"/>
    </row>
    <row r="257">
      <c r="D257" s="10"/>
      <c r="E257" s="10"/>
      <c r="F257" s="9"/>
    </row>
    <row r="258">
      <c r="D258" s="10"/>
      <c r="E258" s="10"/>
      <c r="F258" s="9"/>
    </row>
    <row r="259">
      <c r="D259" s="10"/>
      <c r="E259" s="10"/>
      <c r="F259" s="9"/>
    </row>
    <row r="260">
      <c r="D260" s="10"/>
      <c r="E260" s="10"/>
      <c r="F260" s="9"/>
    </row>
    <row r="261">
      <c r="D261" s="10"/>
      <c r="E261" s="10"/>
      <c r="F261" s="9"/>
    </row>
    <row r="262">
      <c r="D262" s="10"/>
      <c r="E262" s="10"/>
      <c r="F262" s="9"/>
    </row>
    <row r="263">
      <c r="D263" s="10"/>
      <c r="E263" s="10"/>
      <c r="F263" s="9"/>
    </row>
    <row r="264">
      <c r="D264" s="10"/>
      <c r="E264" s="10"/>
      <c r="F264" s="9"/>
    </row>
    <row r="265">
      <c r="D265" s="10"/>
      <c r="E265" s="10"/>
      <c r="F265" s="9"/>
    </row>
    <row r="266">
      <c r="D266" s="10"/>
      <c r="E266" s="10"/>
      <c r="F266" s="9"/>
    </row>
    <row r="267">
      <c r="D267" s="10"/>
      <c r="E267" s="10"/>
      <c r="F267" s="9"/>
    </row>
    <row r="268">
      <c r="D268" s="10"/>
      <c r="E268" s="10"/>
      <c r="F268" s="9"/>
    </row>
    <row r="269">
      <c r="D269" s="10"/>
      <c r="E269" s="10"/>
      <c r="F269" s="9"/>
    </row>
    <row r="270">
      <c r="D270" s="10"/>
      <c r="E270" s="10"/>
      <c r="F270" s="9"/>
    </row>
    <row r="271">
      <c r="D271" s="10"/>
      <c r="E271" s="10"/>
      <c r="F271" s="9"/>
    </row>
    <row r="272">
      <c r="D272" s="10"/>
      <c r="E272" s="10"/>
      <c r="F272" s="9"/>
    </row>
    <row r="273">
      <c r="D273" s="10"/>
      <c r="E273" s="10"/>
      <c r="F273" s="9"/>
    </row>
    <row r="274">
      <c r="D274" s="10"/>
      <c r="E274" s="10"/>
      <c r="F274" s="9"/>
    </row>
    <row r="275">
      <c r="D275" s="10"/>
      <c r="E275" s="10"/>
      <c r="F275" s="9"/>
    </row>
    <row r="276">
      <c r="D276" s="10"/>
      <c r="E276" s="10"/>
      <c r="F276" s="9"/>
    </row>
    <row r="277">
      <c r="D277" s="10"/>
      <c r="E277" s="10"/>
      <c r="F277" s="9"/>
    </row>
    <row r="278">
      <c r="D278" s="10"/>
      <c r="E278" s="10"/>
      <c r="F278" s="9"/>
    </row>
    <row r="279">
      <c r="D279" s="10"/>
      <c r="E279" s="10"/>
      <c r="F279" s="9"/>
    </row>
    <row r="280">
      <c r="D280" s="10"/>
      <c r="E280" s="10"/>
      <c r="F280" s="9"/>
    </row>
    <row r="281">
      <c r="D281" s="10"/>
      <c r="E281" s="10"/>
      <c r="F281" s="9"/>
    </row>
    <row r="282">
      <c r="D282" s="10"/>
      <c r="E282" s="10"/>
      <c r="F282" s="9"/>
    </row>
    <row r="283">
      <c r="D283" s="10"/>
      <c r="E283" s="10"/>
      <c r="F283" s="9"/>
    </row>
    <row r="284">
      <c r="D284" s="10"/>
      <c r="E284" s="10"/>
      <c r="F284" s="9"/>
    </row>
    <row r="285">
      <c r="D285" s="10"/>
      <c r="E285" s="10"/>
      <c r="F285" s="9"/>
    </row>
    <row r="286">
      <c r="D286" s="10"/>
      <c r="E286" s="10"/>
      <c r="F286" s="9"/>
    </row>
    <row r="287">
      <c r="D287" s="10"/>
      <c r="E287" s="10"/>
      <c r="F287" s="9"/>
    </row>
    <row r="288">
      <c r="D288" s="10"/>
      <c r="E288" s="10"/>
      <c r="F288" s="9"/>
    </row>
    <row r="289">
      <c r="D289" s="10"/>
      <c r="E289" s="10"/>
      <c r="F289" s="9"/>
    </row>
    <row r="290">
      <c r="D290" s="10"/>
      <c r="E290" s="10"/>
      <c r="F290" s="9"/>
    </row>
    <row r="291">
      <c r="D291" s="10"/>
      <c r="E291" s="10"/>
      <c r="F291" s="9"/>
    </row>
    <row r="292">
      <c r="D292" s="10"/>
      <c r="E292" s="10"/>
      <c r="F292" s="9"/>
    </row>
    <row r="293">
      <c r="D293" s="10"/>
      <c r="E293" s="10"/>
      <c r="F293" s="9"/>
    </row>
    <row r="294">
      <c r="D294" s="10"/>
      <c r="E294" s="10"/>
      <c r="F294" s="9"/>
    </row>
    <row r="295">
      <c r="D295" s="10"/>
      <c r="E295" s="10"/>
      <c r="F295" s="9"/>
    </row>
    <row r="296">
      <c r="D296" s="10"/>
      <c r="E296" s="10"/>
      <c r="F296" s="9"/>
    </row>
    <row r="297">
      <c r="D297" s="10"/>
      <c r="E297" s="10"/>
      <c r="F297" s="9"/>
    </row>
    <row r="298">
      <c r="D298" s="10"/>
      <c r="E298" s="10"/>
      <c r="F298" s="9"/>
    </row>
    <row r="299">
      <c r="D299" s="10"/>
      <c r="E299" s="10"/>
      <c r="F299" s="9"/>
    </row>
    <row r="300">
      <c r="D300" s="10"/>
      <c r="E300" s="10"/>
      <c r="F300" s="9"/>
    </row>
    <row r="301">
      <c r="D301" s="10"/>
      <c r="E301" s="10"/>
      <c r="F301" s="9"/>
    </row>
    <row r="302">
      <c r="D302" s="10"/>
      <c r="E302" s="10"/>
      <c r="F302" s="9"/>
    </row>
    <row r="303">
      <c r="D303" s="10"/>
      <c r="E303" s="10"/>
      <c r="F303" s="9"/>
    </row>
    <row r="304">
      <c r="D304" s="10"/>
      <c r="E304" s="10"/>
      <c r="F304" s="9"/>
    </row>
    <row r="305">
      <c r="D305" s="10"/>
      <c r="E305" s="10"/>
      <c r="F305" s="9"/>
    </row>
    <row r="306">
      <c r="D306" s="10"/>
      <c r="E306" s="10"/>
      <c r="F306" s="9"/>
    </row>
    <row r="307">
      <c r="D307" s="10"/>
      <c r="E307" s="10"/>
      <c r="F307" s="9"/>
    </row>
    <row r="308">
      <c r="D308" s="10"/>
      <c r="E308" s="10"/>
      <c r="F308" s="9"/>
    </row>
    <row r="309">
      <c r="D309" s="10"/>
      <c r="E309" s="10"/>
      <c r="F309" s="9"/>
    </row>
    <row r="310">
      <c r="D310" s="10"/>
      <c r="E310" s="10"/>
      <c r="F310" s="9"/>
    </row>
    <row r="311">
      <c r="D311" s="10"/>
      <c r="E311" s="10"/>
      <c r="F311" s="9"/>
    </row>
    <row r="312">
      <c r="D312" s="10"/>
      <c r="E312" s="10"/>
      <c r="F312" s="9"/>
    </row>
    <row r="313">
      <c r="D313" s="10"/>
      <c r="E313" s="10"/>
      <c r="F313" s="9"/>
    </row>
    <row r="314">
      <c r="D314" s="10"/>
      <c r="E314" s="10"/>
      <c r="F314" s="9"/>
    </row>
    <row r="315">
      <c r="D315" s="10"/>
      <c r="E315" s="10"/>
      <c r="F315" s="9"/>
    </row>
    <row r="316">
      <c r="D316" s="10"/>
      <c r="E316" s="10"/>
      <c r="F316" s="9"/>
    </row>
    <row r="317">
      <c r="D317" s="10"/>
      <c r="E317" s="10"/>
      <c r="F317" s="9"/>
    </row>
    <row r="318">
      <c r="D318" s="10"/>
      <c r="E318" s="10"/>
      <c r="F318" s="9"/>
    </row>
    <row r="319">
      <c r="D319" s="10"/>
      <c r="E319" s="10"/>
      <c r="F319" s="9"/>
    </row>
    <row r="320">
      <c r="D320" s="10"/>
      <c r="E320" s="10"/>
      <c r="F320" s="9"/>
    </row>
    <row r="321">
      <c r="D321" s="10"/>
      <c r="E321" s="10"/>
      <c r="F321" s="9"/>
    </row>
    <row r="322">
      <c r="D322" s="10"/>
      <c r="E322" s="10"/>
      <c r="F322" s="9"/>
    </row>
    <row r="323">
      <c r="D323" s="10"/>
      <c r="E323" s="10"/>
      <c r="F323" s="9"/>
    </row>
    <row r="324">
      <c r="D324" s="10"/>
      <c r="E324" s="10"/>
      <c r="F324" s="9"/>
    </row>
    <row r="325">
      <c r="D325" s="10"/>
      <c r="E325" s="10"/>
      <c r="F325" s="9"/>
    </row>
    <row r="326">
      <c r="D326" s="10"/>
      <c r="E326" s="10"/>
      <c r="F326" s="9"/>
    </row>
    <row r="327">
      <c r="D327" s="10"/>
      <c r="E327" s="10"/>
      <c r="F327" s="9"/>
    </row>
    <row r="328">
      <c r="D328" s="10"/>
      <c r="E328" s="10"/>
      <c r="F328" s="9"/>
    </row>
    <row r="329">
      <c r="D329" s="10"/>
      <c r="E329" s="10"/>
      <c r="F329" s="9"/>
    </row>
    <row r="330">
      <c r="D330" s="10"/>
      <c r="E330" s="10"/>
      <c r="F330" s="9"/>
    </row>
    <row r="331">
      <c r="D331" s="10"/>
      <c r="E331" s="10"/>
      <c r="F331" s="9"/>
    </row>
    <row r="332">
      <c r="D332" s="10"/>
      <c r="E332" s="10"/>
      <c r="F332" s="9"/>
    </row>
    <row r="333">
      <c r="D333" s="10"/>
      <c r="E333" s="10"/>
      <c r="F333" s="9"/>
    </row>
    <row r="334">
      <c r="D334" s="10"/>
      <c r="E334" s="10"/>
      <c r="F334" s="9"/>
    </row>
    <row r="335">
      <c r="D335" s="10"/>
      <c r="E335" s="10"/>
      <c r="F335" s="9"/>
    </row>
    <row r="336">
      <c r="D336" s="10"/>
      <c r="E336" s="10"/>
      <c r="F336" s="9"/>
    </row>
    <row r="337">
      <c r="D337" s="10"/>
      <c r="E337" s="10"/>
      <c r="F337" s="9"/>
    </row>
    <row r="338">
      <c r="D338" s="10"/>
      <c r="E338" s="10"/>
      <c r="F338" s="9"/>
    </row>
    <row r="339">
      <c r="D339" s="10"/>
      <c r="E339" s="10"/>
      <c r="F339" s="9"/>
    </row>
    <row r="340">
      <c r="D340" s="10"/>
      <c r="E340" s="10"/>
      <c r="F340" s="9"/>
    </row>
    <row r="341">
      <c r="D341" s="10"/>
      <c r="E341" s="10"/>
      <c r="F341" s="9"/>
    </row>
    <row r="342">
      <c r="D342" s="10"/>
      <c r="E342" s="10"/>
      <c r="F342" s="9"/>
    </row>
    <row r="343">
      <c r="D343" s="10"/>
      <c r="E343" s="10"/>
      <c r="F343" s="9"/>
    </row>
    <row r="344">
      <c r="D344" s="10"/>
      <c r="E344" s="10"/>
      <c r="F344" s="9"/>
    </row>
    <row r="345">
      <c r="D345" s="10"/>
      <c r="E345" s="10"/>
      <c r="F345" s="9"/>
    </row>
    <row r="346">
      <c r="D346" s="10"/>
      <c r="E346" s="10"/>
      <c r="F346" s="9"/>
    </row>
    <row r="347">
      <c r="D347" s="10"/>
      <c r="E347" s="10"/>
      <c r="F347" s="9"/>
    </row>
    <row r="348">
      <c r="D348" s="10"/>
      <c r="E348" s="10"/>
      <c r="F348" s="9"/>
    </row>
    <row r="349">
      <c r="D349" s="10"/>
      <c r="E349" s="10"/>
      <c r="F349" s="9"/>
    </row>
    <row r="350">
      <c r="D350" s="10"/>
      <c r="E350" s="10"/>
      <c r="F350" s="9"/>
    </row>
    <row r="351">
      <c r="D351" s="10"/>
      <c r="E351" s="10"/>
      <c r="F351" s="9"/>
    </row>
    <row r="352">
      <c r="D352" s="10"/>
      <c r="E352" s="10"/>
      <c r="F352" s="9"/>
    </row>
    <row r="353">
      <c r="D353" s="10"/>
      <c r="E353" s="10"/>
      <c r="F353" s="9"/>
    </row>
    <row r="354">
      <c r="D354" s="10"/>
      <c r="E354" s="10"/>
      <c r="F354" s="9"/>
    </row>
    <row r="355">
      <c r="D355" s="10"/>
      <c r="E355" s="10"/>
      <c r="F355" s="9"/>
    </row>
    <row r="356">
      <c r="D356" s="10"/>
      <c r="E356" s="10"/>
      <c r="F356" s="9"/>
    </row>
    <row r="357">
      <c r="D357" s="10"/>
      <c r="E357" s="10"/>
      <c r="F357" s="9"/>
    </row>
    <row r="358">
      <c r="D358" s="10"/>
      <c r="E358" s="10"/>
      <c r="F358" s="9"/>
    </row>
    <row r="359">
      <c r="D359" s="10"/>
      <c r="E359" s="10"/>
      <c r="F359" s="9"/>
    </row>
    <row r="360">
      <c r="D360" s="10"/>
      <c r="E360" s="10"/>
      <c r="F360" s="9"/>
    </row>
    <row r="361">
      <c r="D361" s="10"/>
      <c r="E361" s="10"/>
      <c r="F361" s="9"/>
    </row>
    <row r="362">
      <c r="D362" s="10"/>
      <c r="E362" s="10"/>
      <c r="F362" s="9"/>
    </row>
    <row r="363">
      <c r="D363" s="10"/>
      <c r="E363" s="10"/>
      <c r="F363" s="9"/>
    </row>
    <row r="364">
      <c r="D364" s="10"/>
      <c r="E364" s="10"/>
      <c r="F364" s="9"/>
    </row>
    <row r="365">
      <c r="D365" s="10"/>
      <c r="E365" s="10"/>
      <c r="F365" s="9"/>
    </row>
    <row r="366">
      <c r="D366" s="10"/>
      <c r="E366" s="10"/>
      <c r="F366" s="9"/>
    </row>
    <row r="367">
      <c r="D367" s="10"/>
      <c r="E367" s="10"/>
      <c r="F367" s="9"/>
    </row>
    <row r="368">
      <c r="D368" s="10"/>
      <c r="E368" s="10"/>
      <c r="F368" s="9"/>
    </row>
    <row r="369">
      <c r="D369" s="10"/>
      <c r="E369" s="10"/>
      <c r="F369" s="9"/>
    </row>
    <row r="370">
      <c r="D370" s="10"/>
      <c r="E370" s="10"/>
      <c r="F370" s="9"/>
    </row>
    <row r="371">
      <c r="D371" s="10"/>
      <c r="E371" s="10"/>
      <c r="F371" s="9"/>
    </row>
    <row r="372">
      <c r="D372" s="10"/>
      <c r="E372" s="10"/>
      <c r="F372" s="9"/>
    </row>
    <row r="373">
      <c r="D373" s="10"/>
      <c r="E373" s="10"/>
      <c r="F373" s="9"/>
    </row>
    <row r="374">
      <c r="D374" s="10"/>
      <c r="E374" s="10"/>
      <c r="F374" s="9"/>
    </row>
    <row r="375">
      <c r="D375" s="10"/>
      <c r="E375" s="10"/>
      <c r="F375" s="9"/>
    </row>
    <row r="376">
      <c r="D376" s="10"/>
      <c r="E376" s="10"/>
      <c r="F376" s="9"/>
    </row>
    <row r="377">
      <c r="D377" s="10"/>
      <c r="E377" s="10"/>
      <c r="F377" s="9"/>
    </row>
    <row r="378">
      <c r="D378" s="10"/>
      <c r="E378" s="10"/>
      <c r="F378" s="9"/>
    </row>
    <row r="379">
      <c r="D379" s="10"/>
      <c r="E379" s="10"/>
      <c r="F379" s="9"/>
    </row>
    <row r="380">
      <c r="D380" s="10"/>
      <c r="E380" s="10"/>
      <c r="F380" s="9"/>
    </row>
    <row r="381">
      <c r="D381" s="10"/>
      <c r="E381" s="10"/>
      <c r="F381" s="9"/>
    </row>
    <row r="382">
      <c r="D382" s="10"/>
      <c r="E382" s="10"/>
      <c r="F382" s="9"/>
    </row>
    <row r="383">
      <c r="D383" s="10"/>
      <c r="E383" s="10"/>
      <c r="F383" s="9"/>
    </row>
    <row r="384">
      <c r="D384" s="10"/>
      <c r="E384" s="10"/>
      <c r="F384" s="9"/>
    </row>
    <row r="385">
      <c r="D385" s="10"/>
      <c r="E385" s="10"/>
      <c r="F385" s="9"/>
    </row>
    <row r="386">
      <c r="D386" s="10"/>
      <c r="E386" s="10"/>
      <c r="F386" s="9"/>
    </row>
    <row r="387">
      <c r="D387" s="10"/>
      <c r="E387" s="10"/>
      <c r="F387" s="9"/>
    </row>
    <row r="388">
      <c r="D388" s="10"/>
      <c r="E388" s="10"/>
      <c r="F388" s="9"/>
    </row>
    <row r="389">
      <c r="D389" s="10"/>
      <c r="E389" s="10"/>
      <c r="F389" s="9"/>
    </row>
    <row r="390">
      <c r="D390" s="10"/>
      <c r="E390" s="10"/>
      <c r="F390" s="9"/>
    </row>
    <row r="391">
      <c r="D391" s="10"/>
      <c r="E391" s="10"/>
      <c r="F391" s="9"/>
    </row>
    <row r="392">
      <c r="D392" s="10"/>
      <c r="E392" s="10"/>
      <c r="F392" s="9"/>
    </row>
    <row r="393">
      <c r="D393" s="10"/>
      <c r="E393" s="10"/>
      <c r="F393" s="9"/>
    </row>
    <row r="394">
      <c r="D394" s="10"/>
      <c r="E394" s="10"/>
      <c r="F394" s="9"/>
    </row>
    <row r="395">
      <c r="D395" s="10"/>
      <c r="E395" s="10"/>
      <c r="F395" s="9"/>
    </row>
    <row r="396">
      <c r="D396" s="10"/>
      <c r="E396" s="10"/>
      <c r="F396" s="9"/>
    </row>
    <row r="397">
      <c r="D397" s="10"/>
      <c r="E397" s="10"/>
      <c r="F397" s="9"/>
    </row>
    <row r="398">
      <c r="D398" s="10"/>
      <c r="E398" s="10"/>
      <c r="F398" s="9"/>
    </row>
    <row r="399">
      <c r="D399" s="10"/>
      <c r="E399" s="10"/>
      <c r="F399" s="9"/>
    </row>
    <row r="400">
      <c r="D400" s="10"/>
      <c r="E400" s="10"/>
      <c r="F400" s="9"/>
    </row>
    <row r="401">
      <c r="D401" s="10"/>
      <c r="E401" s="10"/>
      <c r="F401" s="9"/>
    </row>
    <row r="402">
      <c r="D402" s="10"/>
      <c r="E402" s="10"/>
      <c r="F402" s="9"/>
    </row>
    <row r="403">
      <c r="D403" s="10"/>
      <c r="E403" s="10"/>
      <c r="F403" s="9"/>
    </row>
    <row r="404">
      <c r="D404" s="10"/>
      <c r="E404" s="10"/>
      <c r="F404" s="9"/>
    </row>
    <row r="405">
      <c r="D405" s="10"/>
      <c r="E405" s="10"/>
      <c r="F405" s="9"/>
    </row>
    <row r="406">
      <c r="D406" s="10"/>
      <c r="E406" s="10"/>
      <c r="F406" s="9"/>
    </row>
    <row r="407">
      <c r="D407" s="10"/>
      <c r="E407" s="10"/>
      <c r="F407" s="9"/>
    </row>
    <row r="408">
      <c r="D408" s="10"/>
      <c r="E408" s="10"/>
      <c r="F408" s="9"/>
    </row>
    <row r="409">
      <c r="D409" s="10"/>
      <c r="E409" s="10"/>
      <c r="F409" s="9"/>
    </row>
    <row r="410">
      <c r="D410" s="10"/>
      <c r="E410" s="10"/>
      <c r="F410" s="9"/>
    </row>
    <row r="411">
      <c r="D411" s="10"/>
      <c r="E411" s="10"/>
      <c r="F411" s="9"/>
    </row>
    <row r="412">
      <c r="D412" s="10"/>
      <c r="E412" s="10"/>
      <c r="F412" s="9"/>
    </row>
    <row r="413">
      <c r="D413" s="10"/>
      <c r="E413" s="10"/>
      <c r="F413" s="9"/>
    </row>
    <row r="414">
      <c r="D414" s="10"/>
      <c r="E414" s="10"/>
      <c r="F414" s="9"/>
    </row>
    <row r="415">
      <c r="D415" s="10"/>
      <c r="E415" s="10"/>
      <c r="F415" s="9"/>
    </row>
    <row r="416">
      <c r="D416" s="10"/>
      <c r="E416" s="10"/>
      <c r="F416" s="9"/>
    </row>
    <row r="417">
      <c r="D417" s="10"/>
      <c r="E417" s="10"/>
      <c r="F417" s="9"/>
    </row>
    <row r="418">
      <c r="D418" s="10"/>
      <c r="E418" s="10"/>
      <c r="F418" s="9"/>
    </row>
    <row r="419">
      <c r="D419" s="10"/>
      <c r="E419" s="10"/>
      <c r="F419" s="9"/>
    </row>
    <row r="420">
      <c r="D420" s="10"/>
      <c r="E420" s="10"/>
      <c r="F420" s="9"/>
    </row>
    <row r="421">
      <c r="D421" s="10"/>
      <c r="E421" s="10"/>
      <c r="F421" s="9"/>
    </row>
    <row r="422">
      <c r="D422" s="10"/>
      <c r="E422" s="10"/>
      <c r="F422" s="9"/>
    </row>
    <row r="423">
      <c r="D423" s="10"/>
      <c r="E423" s="10"/>
      <c r="F423" s="9"/>
    </row>
    <row r="424">
      <c r="D424" s="10"/>
      <c r="E424" s="10"/>
      <c r="F424" s="9"/>
    </row>
    <row r="425">
      <c r="D425" s="10"/>
      <c r="E425" s="10"/>
      <c r="F425" s="9"/>
    </row>
    <row r="426">
      <c r="D426" s="10"/>
      <c r="E426" s="10"/>
      <c r="F426" s="9"/>
    </row>
    <row r="427">
      <c r="D427" s="10"/>
      <c r="E427" s="10"/>
      <c r="F427" s="9"/>
    </row>
    <row r="428">
      <c r="D428" s="10"/>
      <c r="E428" s="10"/>
      <c r="F428" s="9"/>
    </row>
    <row r="429">
      <c r="D429" s="10"/>
      <c r="E429" s="10"/>
      <c r="F429" s="9"/>
    </row>
    <row r="430">
      <c r="D430" s="10"/>
      <c r="E430" s="10"/>
      <c r="F430" s="9"/>
    </row>
    <row r="431">
      <c r="D431" s="10"/>
      <c r="E431" s="10"/>
      <c r="F431" s="9"/>
    </row>
    <row r="432">
      <c r="D432" s="10"/>
      <c r="E432" s="10"/>
      <c r="F432" s="9"/>
    </row>
    <row r="433">
      <c r="D433" s="10"/>
      <c r="E433" s="10"/>
      <c r="F433" s="9"/>
    </row>
    <row r="434">
      <c r="D434" s="10"/>
      <c r="E434" s="10"/>
      <c r="F434" s="9"/>
    </row>
    <row r="435">
      <c r="D435" s="10"/>
      <c r="E435" s="10"/>
      <c r="F435" s="9"/>
    </row>
    <row r="436">
      <c r="D436" s="10"/>
      <c r="E436" s="10"/>
      <c r="F436" s="9"/>
    </row>
    <row r="437">
      <c r="D437" s="10"/>
      <c r="E437" s="10"/>
      <c r="F437" s="9"/>
    </row>
    <row r="438">
      <c r="D438" s="10"/>
      <c r="E438" s="10"/>
      <c r="F438" s="9"/>
    </row>
    <row r="439">
      <c r="D439" s="10"/>
      <c r="E439" s="10"/>
      <c r="F439" s="9"/>
    </row>
    <row r="440">
      <c r="D440" s="10"/>
      <c r="E440" s="10"/>
      <c r="F440" s="9"/>
    </row>
    <row r="441">
      <c r="D441" s="10"/>
      <c r="E441" s="10"/>
      <c r="F441" s="9"/>
    </row>
    <row r="442">
      <c r="D442" s="10"/>
      <c r="E442" s="10"/>
      <c r="F442" s="9"/>
    </row>
    <row r="443">
      <c r="D443" s="10"/>
      <c r="E443" s="10"/>
      <c r="F443" s="9"/>
    </row>
    <row r="444">
      <c r="D444" s="10"/>
      <c r="E444" s="10"/>
      <c r="F444" s="9"/>
    </row>
    <row r="445">
      <c r="D445" s="10"/>
      <c r="E445" s="10"/>
      <c r="F445" s="9"/>
    </row>
    <row r="446">
      <c r="D446" s="10"/>
      <c r="E446" s="10"/>
      <c r="F446" s="9"/>
    </row>
    <row r="447">
      <c r="D447" s="10"/>
      <c r="E447" s="10"/>
      <c r="F447" s="9"/>
    </row>
    <row r="448">
      <c r="D448" s="10"/>
      <c r="E448" s="10"/>
      <c r="F448" s="9"/>
    </row>
    <row r="449">
      <c r="D449" s="10"/>
      <c r="E449" s="10"/>
      <c r="F449" s="9"/>
    </row>
    <row r="450">
      <c r="D450" s="10"/>
      <c r="E450" s="10"/>
      <c r="F450" s="9"/>
    </row>
    <row r="451">
      <c r="D451" s="10"/>
      <c r="E451" s="10"/>
      <c r="F451" s="9"/>
    </row>
    <row r="452">
      <c r="D452" s="10"/>
      <c r="E452" s="10"/>
      <c r="F452" s="9"/>
    </row>
    <row r="453">
      <c r="D453" s="10"/>
      <c r="E453" s="10"/>
      <c r="F453" s="9"/>
    </row>
    <row r="454">
      <c r="D454" s="10"/>
      <c r="E454" s="10"/>
      <c r="F454" s="9"/>
    </row>
    <row r="455">
      <c r="D455" s="10"/>
      <c r="E455" s="10"/>
      <c r="F455" s="9"/>
    </row>
    <row r="456">
      <c r="D456" s="10"/>
      <c r="E456" s="10"/>
      <c r="F456" s="9"/>
    </row>
    <row r="457">
      <c r="D457" s="10"/>
      <c r="E457" s="10"/>
      <c r="F457" s="9"/>
    </row>
    <row r="458">
      <c r="D458" s="10"/>
      <c r="E458" s="10"/>
      <c r="F458" s="9"/>
    </row>
    <row r="459">
      <c r="D459" s="10"/>
      <c r="E459" s="10"/>
      <c r="F459" s="9"/>
    </row>
    <row r="460">
      <c r="D460" s="10"/>
      <c r="E460" s="10"/>
      <c r="F460" s="9"/>
    </row>
    <row r="461">
      <c r="D461" s="10"/>
      <c r="E461" s="10"/>
      <c r="F461" s="9"/>
    </row>
    <row r="462">
      <c r="D462" s="10"/>
      <c r="E462" s="10"/>
      <c r="F462" s="9"/>
    </row>
    <row r="463">
      <c r="D463" s="10"/>
      <c r="E463" s="10"/>
      <c r="F463" s="9"/>
    </row>
    <row r="464">
      <c r="D464" s="10"/>
      <c r="E464" s="10"/>
      <c r="F464" s="9"/>
    </row>
    <row r="465">
      <c r="D465" s="10"/>
      <c r="E465" s="10"/>
      <c r="F465" s="9"/>
    </row>
    <row r="466">
      <c r="D466" s="10"/>
      <c r="E466" s="10"/>
      <c r="F466" s="9"/>
    </row>
    <row r="467">
      <c r="D467" s="10"/>
      <c r="E467" s="10"/>
      <c r="F467" s="9"/>
    </row>
    <row r="468">
      <c r="D468" s="10"/>
      <c r="E468" s="10"/>
      <c r="F468" s="9"/>
    </row>
    <row r="469">
      <c r="D469" s="10"/>
      <c r="E469" s="10"/>
      <c r="F469" s="9"/>
    </row>
    <row r="470">
      <c r="D470" s="10"/>
      <c r="E470" s="10"/>
      <c r="F470" s="9"/>
    </row>
    <row r="471">
      <c r="D471" s="10"/>
      <c r="E471" s="10"/>
      <c r="F471" s="9"/>
    </row>
    <row r="472">
      <c r="D472" s="10"/>
      <c r="E472" s="10"/>
      <c r="F472" s="9"/>
    </row>
    <row r="473">
      <c r="D473" s="10"/>
      <c r="E473" s="10"/>
      <c r="F473" s="9"/>
    </row>
    <row r="474">
      <c r="D474" s="10"/>
      <c r="E474" s="10"/>
      <c r="F474" s="9"/>
    </row>
    <row r="475">
      <c r="D475" s="10"/>
      <c r="E475" s="10"/>
      <c r="F475" s="9"/>
    </row>
    <row r="476">
      <c r="D476" s="10"/>
      <c r="E476" s="10"/>
      <c r="F476" s="9"/>
    </row>
    <row r="477">
      <c r="D477" s="10"/>
      <c r="E477" s="10"/>
      <c r="F477" s="9"/>
    </row>
    <row r="478">
      <c r="D478" s="10"/>
      <c r="E478" s="10"/>
      <c r="F478" s="9"/>
    </row>
    <row r="479">
      <c r="D479" s="10"/>
      <c r="E479" s="10"/>
      <c r="F479" s="9"/>
    </row>
    <row r="480">
      <c r="D480" s="10"/>
      <c r="E480" s="10"/>
      <c r="F480" s="9"/>
    </row>
    <row r="481">
      <c r="D481" s="10"/>
      <c r="E481" s="10"/>
      <c r="F481" s="9"/>
    </row>
    <row r="482">
      <c r="D482" s="10"/>
      <c r="E482" s="10"/>
      <c r="F482" s="9"/>
    </row>
    <row r="483">
      <c r="D483" s="10"/>
      <c r="E483" s="10"/>
      <c r="F483" s="9"/>
    </row>
    <row r="484">
      <c r="D484" s="10"/>
      <c r="E484" s="10"/>
      <c r="F484" s="9"/>
    </row>
    <row r="485">
      <c r="D485" s="10"/>
      <c r="E485" s="10"/>
      <c r="F485" s="9"/>
    </row>
    <row r="486">
      <c r="D486" s="10"/>
      <c r="E486" s="10"/>
      <c r="F486" s="9"/>
    </row>
    <row r="487">
      <c r="D487" s="10"/>
      <c r="E487" s="10"/>
      <c r="F487" s="9"/>
    </row>
    <row r="488">
      <c r="D488" s="10"/>
      <c r="E488" s="10"/>
      <c r="F488" s="9"/>
    </row>
    <row r="489">
      <c r="D489" s="10"/>
      <c r="E489" s="10"/>
      <c r="F489" s="9"/>
    </row>
    <row r="490">
      <c r="D490" s="10"/>
      <c r="E490" s="10"/>
      <c r="F490" s="9"/>
    </row>
    <row r="491">
      <c r="D491" s="10"/>
      <c r="E491" s="10"/>
      <c r="F491" s="9"/>
    </row>
    <row r="492">
      <c r="D492" s="10"/>
      <c r="E492" s="10"/>
      <c r="F492" s="9"/>
    </row>
    <row r="493">
      <c r="D493" s="10"/>
      <c r="E493" s="10"/>
      <c r="F493" s="9"/>
    </row>
    <row r="494">
      <c r="D494" s="10"/>
      <c r="E494" s="10"/>
      <c r="F494" s="9"/>
    </row>
    <row r="495">
      <c r="D495" s="10"/>
      <c r="E495" s="10"/>
      <c r="F495" s="9"/>
    </row>
    <row r="496">
      <c r="D496" s="10"/>
      <c r="E496" s="10"/>
      <c r="F496" s="9"/>
    </row>
    <row r="497">
      <c r="D497" s="10"/>
      <c r="E497" s="10"/>
      <c r="F497" s="9"/>
    </row>
    <row r="498">
      <c r="D498" s="10"/>
      <c r="E498" s="10"/>
      <c r="F498" s="9"/>
    </row>
    <row r="499">
      <c r="D499" s="10"/>
      <c r="E499" s="10"/>
      <c r="F499" s="9"/>
    </row>
    <row r="500">
      <c r="D500" s="10"/>
      <c r="E500" s="10"/>
      <c r="F500" s="9"/>
    </row>
    <row r="501">
      <c r="D501" s="10"/>
      <c r="E501" s="10"/>
      <c r="F501" s="9"/>
    </row>
    <row r="502">
      <c r="D502" s="10"/>
      <c r="E502" s="10"/>
      <c r="F502" s="9"/>
    </row>
    <row r="503">
      <c r="D503" s="10"/>
      <c r="E503" s="10"/>
      <c r="F503" s="9"/>
    </row>
    <row r="504">
      <c r="D504" s="10"/>
      <c r="E504" s="10"/>
      <c r="F504" s="9"/>
    </row>
    <row r="505">
      <c r="D505" s="10"/>
      <c r="E505" s="10"/>
      <c r="F505" s="9"/>
    </row>
    <row r="506">
      <c r="D506" s="10"/>
      <c r="E506" s="10"/>
      <c r="F506" s="9"/>
    </row>
    <row r="507">
      <c r="D507" s="10"/>
      <c r="E507" s="10"/>
      <c r="F507" s="9"/>
    </row>
    <row r="508">
      <c r="D508" s="10"/>
      <c r="E508" s="10"/>
      <c r="F508" s="9"/>
    </row>
    <row r="509">
      <c r="D509" s="10"/>
      <c r="E509" s="10"/>
      <c r="F509" s="9"/>
    </row>
    <row r="510">
      <c r="D510" s="10"/>
      <c r="E510" s="10"/>
      <c r="F510" s="9"/>
    </row>
    <row r="511">
      <c r="D511" s="10"/>
      <c r="E511" s="10"/>
      <c r="F511" s="9"/>
    </row>
    <row r="512">
      <c r="D512" s="10"/>
      <c r="E512" s="10"/>
      <c r="F512" s="9"/>
    </row>
    <row r="513">
      <c r="D513" s="10"/>
      <c r="E513" s="10"/>
      <c r="F513" s="9"/>
    </row>
    <row r="514">
      <c r="D514" s="10"/>
      <c r="E514" s="10"/>
      <c r="F514" s="9"/>
    </row>
    <row r="515">
      <c r="D515" s="10"/>
      <c r="E515" s="10"/>
      <c r="F515" s="9"/>
    </row>
    <row r="516">
      <c r="D516" s="10"/>
      <c r="E516" s="10"/>
      <c r="F516" s="9"/>
    </row>
    <row r="517">
      <c r="D517" s="10"/>
      <c r="E517" s="10"/>
      <c r="F517" s="9"/>
    </row>
    <row r="518">
      <c r="D518" s="10"/>
      <c r="E518" s="10"/>
      <c r="F518" s="9"/>
    </row>
    <row r="519">
      <c r="D519" s="10"/>
      <c r="E519" s="10"/>
      <c r="F519" s="9"/>
    </row>
    <row r="520">
      <c r="D520" s="10"/>
      <c r="E520" s="10"/>
      <c r="F520" s="9"/>
    </row>
    <row r="521">
      <c r="D521" s="10"/>
      <c r="E521" s="10"/>
      <c r="F521" s="9"/>
    </row>
    <row r="522">
      <c r="D522" s="10"/>
      <c r="E522" s="10"/>
      <c r="F522" s="9"/>
    </row>
    <row r="523">
      <c r="D523" s="10"/>
      <c r="E523" s="10"/>
      <c r="F523" s="9"/>
    </row>
    <row r="524">
      <c r="D524" s="10"/>
      <c r="E524" s="10"/>
      <c r="F524" s="9"/>
    </row>
    <row r="525">
      <c r="D525" s="10"/>
      <c r="E525" s="10"/>
      <c r="F525" s="9"/>
    </row>
    <row r="526">
      <c r="D526" s="10"/>
      <c r="E526" s="10"/>
      <c r="F526" s="9"/>
    </row>
    <row r="527">
      <c r="D527" s="10"/>
      <c r="E527" s="10"/>
      <c r="F527" s="9"/>
    </row>
    <row r="528">
      <c r="D528" s="10"/>
      <c r="E528" s="10"/>
      <c r="F528" s="9"/>
    </row>
    <row r="529">
      <c r="D529" s="10"/>
      <c r="E529" s="10"/>
      <c r="F529" s="9"/>
    </row>
    <row r="530">
      <c r="D530" s="10"/>
      <c r="E530" s="10"/>
      <c r="F530" s="9"/>
    </row>
    <row r="531">
      <c r="D531" s="10"/>
      <c r="E531" s="10"/>
      <c r="F531" s="9"/>
    </row>
    <row r="532">
      <c r="D532" s="10"/>
      <c r="E532" s="10"/>
      <c r="F532" s="9"/>
    </row>
    <row r="533">
      <c r="D533" s="10"/>
      <c r="E533" s="10"/>
      <c r="F533" s="9"/>
    </row>
    <row r="534">
      <c r="D534" s="10"/>
      <c r="E534" s="10"/>
      <c r="F534" s="9"/>
    </row>
    <row r="535">
      <c r="D535" s="10"/>
      <c r="E535" s="10"/>
      <c r="F535" s="9"/>
    </row>
    <row r="536">
      <c r="D536" s="10"/>
      <c r="E536" s="10"/>
      <c r="F536" s="9"/>
    </row>
    <row r="537">
      <c r="D537" s="10"/>
      <c r="E537" s="10"/>
      <c r="F537" s="9"/>
    </row>
    <row r="538">
      <c r="D538" s="10"/>
      <c r="E538" s="10"/>
      <c r="F538" s="9"/>
    </row>
    <row r="539">
      <c r="D539" s="10"/>
      <c r="E539" s="10"/>
      <c r="F539" s="9"/>
    </row>
    <row r="540">
      <c r="D540" s="10"/>
      <c r="E540" s="10"/>
      <c r="F540" s="9"/>
    </row>
    <row r="541">
      <c r="D541" s="10"/>
      <c r="E541" s="10"/>
      <c r="F541" s="9"/>
    </row>
    <row r="542">
      <c r="D542" s="10"/>
      <c r="E542" s="10"/>
      <c r="F542" s="9"/>
    </row>
    <row r="543">
      <c r="D543" s="10"/>
      <c r="E543" s="10"/>
      <c r="F543" s="9"/>
    </row>
    <row r="544">
      <c r="D544" s="10"/>
      <c r="E544" s="10"/>
      <c r="F544" s="9"/>
    </row>
    <row r="545">
      <c r="D545" s="10"/>
      <c r="E545" s="10"/>
      <c r="F545" s="9"/>
    </row>
    <row r="546">
      <c r="D546" s="10"/>
      <c r="E546" s="10"/>
      <c r="F546" s="9"/>
    </row>
    <row r="547">
      <c r="D547" s="10"/>
      <c r="E547" s="10"/>
      <c r="F547" s="9"/>
    </row>
    <row r="548">
      <c r="D548" s="10"/>
      <c r="E548" s="10"/>
      <c r="F548" s="9"/>
    </row>
    <row r="549">
      <c r="D549" s="10"/>
      <c r="E549" s="10"/>
      <c r="F549" s="9"/>
    </row>
    <row r="550">
      <c r="D550" s="10"/>
      <c r="E550" s="10"/>
      <c r="F550" s="9"/>
    </row>
    <row r="551">
      <c r="D551" s="10"/>
      <c r="E551" s="10"/>
      <c r="F551" s="9"/>
    </row>
    <row r="552">
      <c r="D552" s="10"/>
      <c r="E552" s="10"/>
      <c r="F552" s="9"/>
    </row>
    <row r="553">
      <c r="D553" s="10"/>
      <c r="E553" s="10"/>
      <c r="F553" s="9"/>
    </row>
    <row r="554">
      <c r="D554" s="10"/>
      <c r="E554" s="10"/>
      <c r="F554" s="9"/>
    </row>
    <row r="555">
      <c r="D555" s="10"/>
      <c r="E555" s="10"/>
      <c r="F555" s="9"/>
    </row>
    <row r="556">
      <c r="D556" s="10"/>
      <c r="E556" s="10"/>
      <c r="F556" s="9"/>
    </row>
    <row r="557">
      <c r="D557" s="10"/>
      <c r="E557" s="10"/>
      <c r="F557" s="9"/>
    </row>
    <row r="558">
      <c r="D558" s="10"/>
      <c r="E558" s="10"/>
      <c r="F558" s="9"/>
    </row>
    <row r="559">
      <c r="D559" s="10"/>
      <c r="E559" s="10"/>
      <c r="F559" s="9"/>
    </row>
    <row r="560">
      <c r="D560" s="10"/>
      <c r="E560" s="10"/>
      <c r="F560" s="9"/>
    </row>
    <row r="561">
      <c r="D561" s="10"/>
      <c r="E561" s="10"/>
      <c r="F561" s="9"/>
    </row>
    <row r="562">
      <c r="D562" s="10"/>
      <c r="E562" s="10"/>
      <c r="F562" s="9"/>
    </row>
    <row r="563">
      <c r="D563" s="10"/>
      <c r="E563" s="10"/>
      <c r="F563" s="9"/>
    </row>
    <row r="564">
      <c r="D564" s="10"/>
      <c r="E564" s="10"/>
      <c r="F564" s="9"/>
    </row>
    <row r="565">
      <c r="D565" s="10"/>
      <c r="E565" s="10"/>
      <c r="F565" s="9"/>
    </row>
    <row r="566">
      <c r="D566" s="10"/>
      <c r="E566" s="10"/>
      <c r="F566" s="9"/>
    </row>
    <row r="567">
      <c r="D567" s="10"/>
      <c r="E567" s="10"/>
      <c r="F567" s="9"/>
    </row>
    <row r="568">
      <c r="D568" s="10"/>
      <c r="E568" s="10"/>
      <c r="F568" s="9"/>
    </row>
    <row r="569">
      <c r="D569" s="10"/>
      <c r="E569" s="10"/>
      <c r="F569" s="9"/>
    </row>
    <row r="570">
      <c r="D570" s="10"/>
      <c r="E570" s="10"/>
      <c r="F570" s="9"/>
    </row>
    <row r="571">
      <c r="D571" s="10"/>
      <c r="E571" s="10"/>
      <c r="F571" s="9"/>
    </row>
    <row r="572">
      <c r="D572" s="10"/>
      <c r="E572" s="10"/>
      <c r="F572" s="9"/>
    </row>
    <row r="573">
      <c r="D573" s="10"/>
      <c r="E573" s="10"/>
      <c r="F573" s="9"/>
    </row>
    <row r="574">
      <c r="D574" s="10"/>
      <c r="E574" s="10"/>
      <c r="F574" s="9"/>
    </row>
    <row r="575">
      <c r="D575" s="10"/>
      <c r="E575" s="10"/>
      <c r="F575" s="9"/>
    </row>
    <row r="576">
      <c r="D576" s="10"/>
      <c r="E576" s="10"/>
      <c r="F576" s="9"/>
    </row>
    <row r="577">
      <c r="D577" s="10"/>
      <c r="E577" s="10"/>
      <c r="F577" s="9"/>
    </row>
    <row r="578">
      <c r="D578" s="10"/>
      <c r="E578" s="10"/>
      <c r="F578" s="9"/>
    </row>
    <row r="579">
      <c r="D579" s="10"/>
      <c r="E579" s="10"/>
      <c r="F579" s="9"/>
    </row>
    <row r="580">
      <c r="D580" s="10"/>
      <c r="E580" s="10"/>
      <c r="F580" s="9"/>
    </row>
    <row r="581">
      <c r="D581" s="10"/>
      <c r="E581" s="10"/>
      <c r="F581" s="9"/>
    </row>
    <row r="582">
      <c r="D582" s="10"/>
      <c r="E582" s="10"/>
      <c r="F582" s="9"/>
    </row>
    <row r="583">
      <c r="D583" s="10"/>
      <c r="E583" s="10"/>
      <c r="F583" s="9"/>
    </row>
    <row r="584">
      <c r="D584" s="10"/>
      <c r="E584" s="10"/>
      <c r="F584" s="9"/>
    </row>
    <row r="585">
      <c r="D585" s="10"/>
      <c r="E585" s="10"/>
      <c r="F585" s="9"/>
    </row>
    <row r="586">
      <c r="D586" s="10"/>
      <c r="E586" s="10"/>
      <c r="F586" s="9"/>
    </row>
    <row r="587">
      <c r="D587" s="10"/>
      <c r="E587" s="10"/>
      <c r="F587" s="9"/>
    </row>
    <row r="588">
      <c r="D588" s="10"/>
      <c r="E588" s="10"/>
      <c r="F588" s="9"/>
    </row>
    <row r="589">
      <c r="D589" s="10"/>
      <c r="E589" s="10"/>
      <c r="F589" s="9"/>
    </row>
    <row r="590">
      <c r="D590" s="10"/>
      <c r="E590" s="10"/>
      <c r="F590" s="9"/>
    </row>
    <row r="591">
      <c r="D591" s="10"/>
      <c r="E591" s="10"/>
      <c r="F591" s="9"/>
    </row>
    <row r="592">
      <c r="D592" s="10"/>
      <c r="E592" s="10"/>
      <c r="F592" s="9"/>
    </row>
    <row r="593">
      <c r="D593" s="10"/>
      <c r="E593" s="10"/>
      <c r="F593" s="9"/>
    </row>
    <row r="594">
      <c r="D594" s="10"/>
      <c r="E594" s="10"/>
      <c r="F594" s="9"/>
    </row>
    <row r="595">
      <c r="D595" s="10"/>
      <c r="E595" s="10"/>
      <c r="F595" s="9"/>
    </row>
    <row r="596">
      <c r="D596" s="10"/>
      <c r="E596" s="10"/>
      <c r="F596" s="9"/>
    </row>
    <row r="597">
      <c r="D597" s="10"/>
      <c r="E597" s="10"/>
      <c r="F597" s="9"/>
    </row>
    <row r="598">
      <c r="D598" s="10"/>
      <c r="E598" s="10"/>
      <c r="F598" s="9"/>
    </row>
    <row r="599">
      <c r="D599" s="10"/>
      <c r="E599" s="10"/>
      <c r="F599" s="9"/>
    </row>
    <row r="600">
      <c r="D600" s="10"/>
      <c r="E600" s="10"/>
      <c r="F600" s="9"/>
    </row>
    <row r="601">
      <c r="D601" s="10"/>
      <c r="E601" s="10"/>
      <c r="F601" s="9"/>
    </row>
    <row r="602">
      <c r="D602" s="10"/>
      <c r="E602" s="10"/>
      <c r="F602" s="9"/>
    </row>
    <row r="603">
      <c r="D603" s="10"/>
      <c r="E603" s="10"/>
      <c r="F603" s="9"/>
    </row>
    <row r="604">
      <c r="D604" s="10"/>
      <c r="E604" s="10"/>
      <c r="F604" s="9"/>
    </row>
    <row r="605">
      <c r="D605" s="10"/>
      <c r="E605" s="10"/>
      <c r="F605" s="9"/>
    </row>
    <row r="606">
      <c r="D606" s="10"/>
      <c r="E606" s="10"/>
      <c r="F606" s="9"/>
    </row>
    <row r="607">
      <c r="D607" s="10"/>
      <c r="E607" s="10"/>
      <c r="F607" s="9"/>
    </row>
    <row r="608">
      <c r="D608" s="10"/>
      <c r="E608" s="10"/>
      <c r="F608" s="9"/>
    </row>
    <row r="609">
      <c r="D609" s="10"/>
      <c r="E609" s="10"/>
      <c r="F609" s="9"/>
    </row>
    <row r="610">
      <c r="D610" s="10"/>
      <c r="E610" s="10"/>
      <c r="F610" s="9"/>
    </row>
    <row r="611">
      <c r="D611" s="10"/>
      <c r="E611" s="10"/>
      <c r="F611" s="9"/>
    </row>
    <row r="612">
      <c r="D612" s="10"/>
      <c r="E612" s="10"/>
      <c r="F612" s="9"/>
    </row>
    <row r="613">
      <c r="D613" s="10"/>
      <c r="E613" s="10"/>
      <c r="F613" s="9"/>
    </row>
    <row r="614">
      <c r="D614" s="10"/>
      <c r="E614" s="10"/>
      <c r="F614" s="9"/>
    </row>
    <row r="615">
      <c r="D615" s="10"/>
      <c r="E615" s="10"/>
      <c r="F615" s="9"/>
    </row>
    <row r="616">
      <c r="D616" s="10"/>
      <c r="E616" s="10"/>
      <c r="F616" s="9"/>
    </row>
    <row r="617">
      <c r="D617" s="10"/>
      <c r="E617" s="10"/>
      <c r="F617" s="9"/>
    </row>
    <row r="618">
      <c r="D618" s="10"/>
      <c r="E618" s="10"/>
      <c r="F618" s="9"/>
    </row>
    <row r="619">
      <c r="D619" s="10"/>
      <c r="E619" s="10"/>
      <c r="F619" s="9"/>
    </row>
    <row r="620">
      <c r="D620" s="10"/>
      <c r="E620" s="10"/>
      <c r="F620" s="9"/>
    </row>
    <row r="621">
      <c r="D621" s="10"/>
      <c r="E621" s="10"/>
      <c r="F621" s="9"/>
    </row>
    <row r="622">
      <c r="D622" s="10"/>
      <c r="E622" s="10"/>
      <c r="F622" s="9"/>
    </row>
    <row r="623">
      <c r="D623" s="10"/>
      <c r="E623" s="10"/>
      <c r="F623" s="9"/>
    </row>
    <row r="624">
      <c r="D624" s="10"/>
      <c r="E624" s="10"/>
      <c r="F624" s="9"/>
    </row>
    <row r="625">
      <c r="D625" s="10"/>
      <c r="E625" s="10"/>
      <c r="F625" s="9"/>
    </row>
    <row r="626">
      <c r="D626" s="10"/>
      <c r="E626" s="10"/>
      <c r="F626" s="9"/>
    </row>
    <row r="627">
      <c r="D627" s="10"/>
      <c r="E627" s="10"/>
      <c r="F627" s="9"/>
    </row>
    <row r="628">
      <c r="D628" s="10"/>
      <c r="E628" s="10"/>
      <c r="F628" s="9"/>
    </row>
    <row r="629">
      <c r="D629" s="10"/>
      <c r="E629" s="10"/>
      <c r="F629" s="9"/>
    </row>
    <row r="630">
      <c r="D630" s="10"/>
      <c r="E630" s="10"/>
      <c r="F630" s="9"/>
    </row>
    <row r="631">
      <c r="D631" s="10"/>
      <c r="E631" s="10"/>
      <c r="F631" s="9"/>
    </row>
    <row r="632">
      <c r="D632" s="10"/>
      <c r="E632" s="10"/>
      <c r="F632" s="9"/>
    </row>
    <row r="633">
      <c r="D633" s="10"/>
      <c r="E633" s="10"/>
      <c r="F633" s="9"/>
    </row>
    <row r="634">
      <c r="D634" s="10"/>
      <c r="E634" s="10"/>
      <c r="F634" s="9"/>
    </row>
    <row r="635">
      <c r="D635" s="10"/>
      <c r="E635" s="10"/>
      <c r="F635" s="9"/>
    </row>
    <row r="636">
      <c r="D636" s="10"/>
      <c r="E636" s="10"/>
      <c r="F636" s="9"/>
    </row>
    <row r="637">
      <c r="D637" s="10"/>
      <c r="E637" s="10"/>
      <c r="F637" s="9"/>
    </row>
    <row r="638">
      <c r="D638" s="10"/>
      <c r="E638" s="10"/>
      <c r="F638" s="9"/>
    </row>
    <row r="639">
      <c r="D639" s="10"/>
      <c r="E639" s="10"/>
      <c r="F639" s="9"/>
    </row>
    <row r="640">
      <c r="D640" s="10"/>
      <c r="E640" s="10"/>
      <c r="F640" s="9"/>
    </row>
    <row r="641">
      <c r="D641" s="10"/>
      <c r="E641" s="10"/>
      <c r="F641" s="9"/>
    </row>
    <row r="642">
      <c r="D642" s="10"/>
      <c r="E642" s="10"/>
      <c r="F642" s="9"/>
    </row>
    <row r="643">
      <c r="D643" s="10"/>
      <c r="E643" s="10"/>
      <c r="F643" s="9"/>
    </row>
    <row r="644">
      <c r="D644" s="10"/>
      <c r="E644" s="10"/>
      <c r="F644" s="9"/>
    </row>
    <row r="645">
      <c r="D645" s="10"/>
      <c r="E645" s="10"/>
      <c r="F645" s="9"/>
    </row>
    <row r="646">
      <c r="D646" s="10"/>
      <c r="E646" s="10"/>
      <c r="F646" s="9"/>
    </row>
    <row r="647">
      <c r="D647" s="10"/>
      <c r="E647" s="10"/>
      <c r="F647" s="9"/>
    </row>
    <row r="648">
      <c r="D648" s="10"/>
      <c r="E648" s="10"/>
      <c r="F648" s="9"/>
    </row>
    <row r="649">
      <c r="D649" s="10"/>
      <c r="E649" s="10"/>
      <c r="F649" s="9"/>
    </row>
    <row r="650">
      <c r="D650" s="10"/>
      <c r="E650" s="10"/>
      <c r="F650" s="9"/>
    </row>
    <row r="651">
      <c r="D651" s="10"/>
      <c r="E651" s="10"/>
      <c r="F651" s="9"/>
    </row>
    <row r="652">
      <c r="D652" s="10"/>
      <c r="E652" s="10"/>
      <c r="F652" s="9"/>
    </row>
    <row r="653">
      <c r="D653" s="10"/>
      <c r="E653" s="10"/>
      <c r="F653" s="9"/>
    </row>
    <row r="654">
      <c r="D654" s="10"/>
      <c r="E654" s="10"/>
      <c r="F654" s="9"/>
    </row>
    <row r="655">
      <c r="D655" s="10"/>
      <c r="E655" s="10"/>
      <c r="F655" s="9"/>
    </row>
    <row r="656">
      <c r="D656" s="10"/>
      <c r="E656" s="10"/>
      <c r="F656" s="9"/>
    </row>
    <row r="657">
      <c r="D657" s="10"/>
      <c r="E657" s="10"/>
      <c r="F657" s="9"/>
    </row>
    <row r="658">
      <c r="D658" s="10"/>
      <c r="E658" s="10"/>
      <c r="F658" s="9"/>
    </row>
    <row r="659">
      <c r="D659" s="10"/>
      <c r="E659" s="10"/>
      <c r="F659" s="9"/>
    </row>
    <row r="660">
      <c r="D660" s="10"/>
      <c r="E660" s="10"/>
      <c r="F660" s="9"/>
    </row>
    <row r="661">
      <c r="D661" s="10"/>
      <c r="E661" s="10"/>
      <c r="F661" s="9"/>
    </row>
    <row r="662">
      <c r="D662" s="10"/>
      <c r="E662" s="10"/>
      <c r="F662" s="9"/>
    </row>
    <row r="663">
      <c r="D663" s="10"/>
      <c r="E663" s="10"/>
      <c r="F663" s="9"/>
    </row>
    <row r="664">
      <c r="D664" s="10"/>
      <c r="E664" s="10"/>
      <c r="F664" s="9"/>
    </row>
    <row r="665">
      <c r="D665" s="10"/>
      <c r="E665" s="10"/>
      <c r="F665" s="9"/>
    </row>
    <row r="666">
      <c r="D666" s="10"/>
      <c r="E666" s="10"/>
      <c r="F666" s="9"/>
    </row>
    <row r="667">
      <c r="D667" s="10"/>
      <c r="E667" s="10"/>
      <c r="F667" s="9"/>
    </row>
    <row r="668">
      <c r="D668" s="10"/>
      <c r="E668" s="10"/>
      <c r="F668" s="9"/>
    </row>
    <row r="669">
      <c r="D669" s="10"/>
      <c r="E669" s="10"/>
      <c r="F669" s="9"/>
    </row>
    <row r="670">
      <c r="D670" s="10"/>
      <c r="E670" s="10"/>
      <c r="F670" s="9"/>
    </row>
    <row r="671">
      <c r="D671" s="10"/>
      <c r="E671" s="10"/>
      <c r="F671" s="9"/>
    </row>
    <row r="672">
      <c r="D672" s="10"/>
      <c r="E672" s="10"/>
      <c r="F672" s="9"/>
    </row>
    <row r="673">
      <c r="D673" s="10"/>
      <c r="E673" s="10"/>
      <c r="F673" s="9"/>
    </row>
    <row r="674">
      <c r="D674" s="10"/>
      <c r="E674" s="10"/>
      <c r="F674" s="9"/>
    </row>
    <row r="675">
      <c r="D675" s="10"/>
      <c r="E675" s="10"/>
      <c r="F675" s="9"/>
    </row>
    <row r="676">
      <c r="D676" s="10"/>
      <c r="E676" s="10"/>
      <c r="F676" s="9"/>
    </row>
    <row r="677">
      <c r="D677" s="10"/>
      <c r="E677" s="10"/>
      <c r="F677" s="9"/>
    </row>
    <row r="678">
      <c r="D678" s="10"/>
      <c r="E678" s="10"/>
      <c r="F678" s="9"/>
    </row>
    <row r="679">
      <c r="D679" s="10"/>
      <c r="E679" s="10"/>
      <c r="F679" s="9"/>
    </row>
    <row r="680">
      <c r="D680" s="10"/>
      <c r="E680" s="10"/>
      <c r="F680" s="9"/>
    </row>
    <row r="681">
      <c r="D681" s="10"/>
      <c r="E681" s="10"/>
      <c r="F681" s="9"/>
    </row>
    <row r="682">
      <c r="D682" s="10"/>
      <c r="E682" s="10"/>
      <c r="F682" s="9"/>
    </row>
    <row r="683">
      <c r="D683" s="10"/>
      <c r="E683" s="10"/>
      <c r="F683" s="9"/>
    </row>
    <row r="684">
      <c r="D684" s="10"/>
      <c r="E684" s="10"/>
      <c r="F684" s="9"/>
    </row>
    <row r="685">
      <c r="D685" s="10"/>
      <c r="E685" s="10"/>
      <c r="F685" s="9"/>
    </row>
    <row r="686">
      <c r="D686" s="10"/>
      <c r="E686" s="10"/>
      <c r="F686" s="9"/>
    </row>
    <row r="687">
      <c r="D687" s="10"/>
      <c r="E687" s="10"/>
      <c r="F687" s="9"/>
    </row>
    <row r="688">
      <c r="D688" s="10"/>
      <c r="E688" s="10"/>
      <c r="F688" s="9"/>
    </row>
    <row r="689">
      <c r="D689" s="10"/>
      <c r="E689" s="10"/>
      <c r="F689" s="9"/>
    </row>
    <row r="690">
      <c r="D690" s="10"/>
      <c r="E690" s="10"/>
      <c r="F690" s="9"/>
    </row>
    <row r="691">
      <c r="D691" s="10"/>
      <c r="E691" s="10"/>
      <c r="F691" s="9"/>
    </row>
    <row r="692">
      <c r="D692" s="10"/>
      <c r="E692" s="10"/>
      <c r="F692" s="9"/>
    </row>
    <row r="693">
      <c r="D693" s="10"/>
      <c r="E693" s="10"/>
      <c r="F693" s="9"/>
    </row>
    <row r="694">
      <c r="D694" s="10"/>
      <c r="E694" s="10"/>
      <c r="F694" s="9"/>
    </row>
    <row r="695">
      <c r="D695" s="10"/>
      <c r="E695" s="10"/>
      <c r="F695" s="9"/>
    </row>
    <row r="696">
      <c r="D696" s="10"/>
      <c r="E696" s="10"/>
      <c r="F696" s="9"/>
    </row>
    <row r="697">
      <c r="D697" s="10"/>
      <c r="E697" s="10"/>
      <c r="F697" s="9"/>
    </row>
    <row r="698">
      <c r="D698" s="10"/>
      <c r="E698" s="10"/>
      <c r="F698" s="9"/>
    </row>
    <row r="699">
      <c r="D699" s="10"/>
      <c r="E699" s="10"/>
      <c r="F699" s="9"/>
    </row>
    <row r="700">
      <c r="D700" s="10"/>
      <c r="E700" s="10"/>
      <c r="F700" s="9"/>
    </row>
    <row r="701">
      <c r="D701" s="10"/>
      <c r="E701" s="10"/>
      <c r="F701" s="9"/>
    </row>
    <row r="702">
      <c r="D702" s="10"/>
      <c r="E702" s="10"/>
      <c r="F702" s="9"/>
    </row>
    <row r="703">
      <c r="D703" s="10"/>
      <c r="E703" s="10"/>
      <c r="F703" s="9"/>
    </row>
    <row r="704">
      <c r="D704" s="10"/>
      <c r="E704" s="10"/>
      <c r="F704" s="9"/>
    </row>
    <row r="705">
      <c r="D705" s="10"/>
      <c r="E705" s="10"/>
      <c r="F705" s="9"/>
    </row>
    <row r="706">
      <c r="D706" s="10"/>
      <c r="E706" s="10"/>
      <c r="F706" s="9"/>
    </row>
    <row r="707">
      <c r="D707" s="10"/>
      <c r="E707" s="10"/>
      <c r="F707" s="9"/>
    </row>
    <row r="708">
      <c r="D708" s="10"/>
      <c r="E708" s="10"/>
      <c r="F708" s="9"/>
    </row>
    <row r="709">
      <c r="D709" s="10"/>
      <c r="E709" s="10"/>
      <c r="F709" s="9"/>
    </row>
    <row r="710">
      <c r="D710" s="10"/>
      <c r="E710" s="10"/>
      <c r="F710" s="9"/>
    </row>
    <row r="711">
      <c r="D711" s="10"/>
      <c r="E711" s="10"/>
      <c r="F711" s="9"/>
    </row>
    <row r="712">
      <c r="D712" s="10"/>
      <c r="E712" s="10"/>
      <c r="F712" s="9"/>
    </row>
    <row r="713">
      <c r="D713" s="10"/>
      <c r="E713" s="10"/>
      <c r="F713" s="9"/>
    </row>
    <row r="714">
      <c r="D714" s="10"/>
      <c r="E714" s="10"/>
      <c r="F714" s="9"/>
    </row>
    <row r="715">
      <c r="D715" s="10"/>
      <c r="E715" s="10"/>
      <c r="F715" s="9"/>
    </row>
    <row r="716">
      <c r="D716" s="10"/>
      <c r="E716" s="10"/>
      <c r="F716" s="9"/>
    </row>
    <row r="717">
      <c r="D717" s="10"/>
      <c r="E717" s="10"/>
      <c r="F717" s="9"/>
    </row>
    <row r="718">
      <c r="D718" s="10"/>
      <c r="E718" s="10"/>
      <c r="F718" s="9"/>
    </row>
    <row r="719">
      <c r="D719" s="10"/>
      <c r="E719" s="10"/>
      <c r="F719" s="9"/>
    </row>
    <row r="720">
      <c r="D720" s="10"/>
      <c r="E720" s="10"/>
      <c r="F720" s="9"/>
    </row>
    <row r="721">
      <c r="D721" s="10"/>
      <c r="E721" s="10"/>
      <c r="F721" s="9"/>
    </row>
    <row r="722">
      <c r="D722" s="10"/>
      <c r="E722" s="10"/>
      <c r="F722" s="9"/>
    </row>
    <row r="723">
      <c r="D723" s="10"/>
      <c r="E723" s="10"/>
      <c r="F723" s="9"/>
    </row>
    <row r="724">
      <c r="D724" s="10"/>
      <c r="E724" s="10"/>
      <c r="F724" s="9"/>
    </row>
    <row r="725">
      <c r="D725" s="10"/>
      <c r="E725" s="10"/>
      <c r="F725" s="9"/>
    </row>
    <row r="726">
      <c r="D726" s="10"/>
      <c r="E726" s="10"/>
      <c r="F726" s="9"/>
    </row>
    <row r="727">
      <c r="D727" s="10"/>
      <c r="E727" s="10"/>
      <c r="F727" s="9"/>
    </row>
    <row r="728">
      <c r="D728" s="10"/>
      <c r="E728" s="10"/>
      <c r="F728" s="9"/>
    </row>
    <row r="729">
      <c r="D729" s="10"/>
      <c r="E729" s="10"/>
      <c r="F729" s="9"/>
    </row>
    <row r="730">
      <c r="D730" s="10"/>
      <c r="E730" s="10"/>
      <c r="F730" s="9"/>
    </row>
    <row r="731">
      <c r="D731" s="10"/>
      <c r="E731" s="10"/>
      <c r="F731" s="9"/>
    </row>
    <row r="732">
      <c r="D732" s="10"/>
      <c r="E732" s="10"/>
      <c r="F732" s="9"/>
    </row>
    <row r="733">
      <c r="D733" s="10"/>
      <c r="E733" s="10"/>
      <c r="F733" s="9"/>
    </row>
    <row r="734">
      <c r="D734" s="10"/>
      <c r="E734" s="10"/>
      <c r="F734" s="9"/>
    </row>
    <row r="735">
      <c r="D735" s="10"/>
      <c r="E735" s="10"/>
      <c r="F735" s="9"/>
    </row>
    <row r="736">
      <c r="D736" s="10"/>
      <c r="E736" s="10"/>
      <c r="F736" s="9"/>
    </row>
    <row r="737">
      <c r="D737" s="10"/>
      <c r="E737" s="10"/>
      <c r="F737" s="9"/>
    </row>
    <row r="738">
      <c r="D738" s="10"/>
      <c r="E738" s="10"/>
      <c r="F738" s="9"/>
    </row>
    <row r="739">
      <c r="D739" s="10"/>
      <c r="E739" s="10"/>
      <c r="F739" s="9"/>
    </row>
    <row r="740">
      <c r="D740" s="10"/>
      <c r="E740" s="10"/>
      <c r="F740" s="9"/>
    </row>
    <row r="741">
      <c r="D741" s="10"/>
      <c r="E741" s="10"/>
      <c r="F741" s="9"/>
    </row>
    <row r="742">
      <c r="D742" s="10"/>
      <c r="E742" s="10"/>
      <c r="F742" s="9"/>
    </row>
    <row r="743">
      <c r="D743" s="10"/>
      <c r="E743" s="10"/>
      <c r="F743" s="9"/>
    </row>
    <row r="744">
      <c r="D744" s="10"/>
      <c r="E744" s="10"/>
      <c r="F744" s="9"/>
    </row>
    <row r="745">
      <c r="D745" s="10"/>
      <c r="E745" s="10"/>
      <c r="F745" s="9"/>
    </row>
    <row r="746">
      <c r="D746" s="10"/>
      <c r="E746" s="10"/>
      <c r="F746" s="9"/>
    </row>
    <row r="747">
      <c r="D747" s="10"/>
      <c r="E747" s="10"/>
      <c r="F747" s="9"/>
    </row>
    <row r="748">
      <c r="D748" s="10"/>
      <c r="E748" s="10"/>
      <c r="F748" s="9"/>
    </row>
    <row r="749">
      <c r="D749" s="10"/>
      <c r="E749" s="10"/>
      <c r="F749" s="9"/>
    </row>
    <row r="750">
      <c r="D750" s="10"/>
      <c r="E750" s="10"/>
      <c r="F750" s="9"/>
    </row>
    <row r="751">
      <c r="D751" s="10"/>
      <c r="E751" s="10"/>
      <c r="F751" s="9"/>
    </row>
    <row r="752">
      <c r="D752" s="10"/>
      <c r="E752" s="10"/>
      <c r="F752" s="9"/>
    </row>
    <row r="753">
      <c r="D753" s="10"/>
      <c r="E753" s="10"/>
      <c r="F753" s="9"/>
    </row>
    <row r="754">
      <c r="D754" s="10"/>
      <c r="E754" s="10"/>
      <c r="F754" s="9"/>
    </row>
    <row r="755">
      <c r="D755" s="10"/>
      <c r="E755" s="10"/>
      <c r="F755" s="9"/>
    </row>
    <row r="756">
      <c r="D756" s="10"/>
      <c r="E756" s="10"/>
      <c r="F756" s="9"/>
    </row>
    <row r="757">
      <c r="D757" s="10"/>
      <c r="E757" s="10"/>
      <c r="F757" s="9"/>
    </row>
    <row r="758">
      <c r="D758" s="10"/>
      <c r="E758" s="10"/>
      <c r="F758" s="9"/>
    </row>
    <row r="759">
      <c r="D759" s="10"/>
      <c r="E759" s="10"/>
      <c r="F759" s="9"/>
    </row>
    <row r="760">
      <c r="D760" s="10"/>
      <c r="E760" s="10"/>
      <c r="F760" s="9"/>
    </row>
    <row r="761">
      <c r="D761" s="10"/>
      <c r="E761" s="10"/>
      <c r="F761" s="9"/>
    </row>
    <row r="762">
      <c r="D762" s="10"/>
      <c r="E762" s="10"/>
      <c r="F762" s="9"/>
    </row>
    <row r="763">
      <c r="D763" s="10"/>
      <c r="E763" s="10"/>
      <c r="F763" s="9"/>
    </row>
    <row r="764">
      <c r="D764" s="10"/>
      <c r="E764" s="10"/>
      <c r="F764" s="9"/>
    </row>
    <row r="765">
      <c r="D765" s="10"/>
      <c r="E765" s="10"/>
      <c r="F765" s="9"/>
    </row>
    <row r="766">
      <c r="D766" s="10"/>
      <c r="E766" s="10"/>
      <c r="F766" s="9"/>
    </row>
    <row r="767">
      <c r="D767" s="10"/>
      <c r="E767" s="10"/>
      <c r="F767" s="9"/>
    </row>
    <row r="768">
      <c r="D768" s="10"/>
      <c r="E768" s="10"/>
      <c r="F768" s="9"/>
    </row>
    <row r="769">
      <c r="D769" s="10"/>
      <c r="E769" s="10"/>
      <c r="F769" s="9"/>
    </row>
    <row r="770">
      <c r="D770" s="10"/>
      <c r="E770" s="10"/>
      <c r="F770" s="9"/>
    </row>
    <row r="771">
      <c r="D771" s="10"/>
      <c r="E771" s="10"/>
      <c r="F771" s="9"/>
    </row>
    <row r="772">
      <c r="D772" s="10"/>
      <c r="E772" s="10"/>
      <c r="F772" s="9"/>
    </row>
    <row r="773">
      <c r="D773" s="10"/>
      <c r="E773" s="10"/>
      <c r="F773" s="9"/>
    </row>
    <row r="774">
      <c r="D774" s="10"/>
      <c r="E774" s="10"/>
      <c r="F774" s="9"/>
    </row>
    <row r="775">
      <c r="D775" s="10"/>
      <c r="E775" s="10"/>
      <c r="F775" s="9"/>
    </row>
    <row r="776">
      <c r="D776" s="10"/>
      <c r="E776" s="10"/>
      <c r="F776" s="9"/>
    </row>
    <row r="777">
      <c r="D777" s="10"/>
      <c r="E777" s="10"/>
      <c r="F777" s="9"/>
    </row>
    <row r="778">
      <c r="D778" s="10"/>
      <c r="E778" s="10"/>
      <c r="F778" s="9"/>
    </row>
    <row r="779">
      <c r="D779" s="10"/>
      <c r="E779" s="10"/>
      <c r="F779" s="9"/>
    </row>
    <row r="780">
      <c r="D780" s="10"/>
      <c r="E780" s="10"/>
      <c r="F780" s="9"/>
    </row>
    <row r="781">
      <c r="D781" s="10"/>
      <c r="E781" s="10"/>
      <c r="F781" s="9"/>
    </row>
    <row r="782">
      <c r="D782" s="10"/>
      <c r="E782" s="10"/>
      <c r="F782" s="9"/>
    </row>
    <row r="783">
      <c r="D783" s="10"/>
      <c r="E783" s="10"/>
      <c r="F783" s="9"/>
    </row>
    <row r="784">
      <c r="D784" s="10"/>
      <c r="E784" s="10"/>
      <c r="F784" s="9"/>
    </row>
    <row r="785">
      <c r="D785" s="10"/>
      <c r="E785" s="10"/>
      <c r="F785" s="9"/>
    </row>
    <row r="786">
      <c r="D786" s="10"/>
      <c r="E786" s="10"/>
      <c r="F786" s="9"/>
    </row>
    <row r="787">
      <c r="D787" s="10"/>
      <c r="E787" s="10"/>
      <c r="F787" s="9"/>
    </row>
    <row r="788">
      <c r="D788" s="10"/>
      <c r="E788" s="10"/>
      <c r="F788" s="9"/>
    </row>
    <row r="789">
      <c r="D789" s="10"/>
      <c r="E789" s="10"/>
      <c r="F789" s="9"/>
    </row>
    <row r="790">
      <c r="D790" s="10"/>
      <c r="E790" s="10"/>
      <c r="F790" s="9"/>
    </row>
    <row r="791">
      <c r="D791" s="10"/>
      <c r="E791" s="10"/>
      <c r="F791" s="9"/>
    </row>
    <row r="792">
      <c r="D792" s="10"/>
      <c r="E792" s="10"/>
      <c r="F792" s="9"/>
    </row>
    <row r="793">
      <c r="D793" s="10"/>
      <c r="E793" s="10"/>
      <c r="F793" s="9"/>
    </row>
    <row r="794">
      <c r="D794" s="10"/>
      <c r="E794" s="10"/>
      <c r="F794" s="9"/>
    </row>
    <row r="795">
      <c r="D795" s="10"/>
      <c r="E795" s="10"/>
      <c r="F795" s="9"/>
    </row>
    <row r="796">
      <c r="D796" s="10"/>
      <c r="E796" s="10"/>
      <c r="F796" s="9"/>
    </row>
    <row r="797">
      <c r="D797" s="10"/>
      <c r="E797" s="10"/>
      <c r="F797" s="9"/>
    </row>
    <row r="798">
      <c r="D798" s="10"/>
      <c r="E798" s="10"/>
      <c r="F798" s="9"/>
    </row>
    <row r="799">
      <c r="D799" s="10"/>
      <c r="E799" s="10"/>
      <c r="F799" s="9"/>
    </row>
    <row r="800">
      <c r="D800" s="10"/>
      <c r="E800" s="10"/>
      <c r="F800" s="9"/>
    </row>
    <row r="801">
      <c r="D801" s="10"/>
      <c r="E801" s="10"/>
      <c r="F801" s="9"/>
    </row>
    <row r="802">
      <c r="D802" s="10"/>
      <c r="E802" s="10"/>
      <c r="F802" s="9"/>
    </row>
    <row r="803">
      <c r="D803" s="10"/>
      <c r="E803" s="10"/>
      <c r="F803" s="9"/>
    </row>
    <row r="804">
      <c r="D804" s="10"/>
      <c r="E804" s="10"/>
      <c r="F804" s="9"/>
    </row>
    <row r="805">
      <c r="D805" s="10"/>
      <c r="E805" s="10"/>
      <c r="F805" s="9"/>
    </row>
    <row r="806">
      <c r="D806" s="10"/>
      <c r="E806" s="10"/>
      <c r="F806" s="9"/>
    </row>
    <row r="807">
      <c r="D807" s="10"/>
      <c r="E807" s="10"/>
      <c r="F807" s="9"/>
    </row>
    <row r="808">
      <c r="D808" s="10"/>
      <c r="E808" s="10"/>
      <c r="F808" s="9"/>
    </row>
    <row r="809">
      <c r="D809" s="10"/>
      <c r="E809" s="10"/>
      <c r="F809" s="9"/>
    </row>
    <row r="810">
      <c r="D810" s="10"/>
      <c r="E810" s="10"/>
      <c r="F810" s="9"/>
    </row>
    <row r="811">
      <c r="D811" s="10"/>
      <c r="E811" s="10"/>
      <c r="F811" s="9"/>
    </row>
    <row r="812">
      <c r="D812" s="10"/>
      <c r="E812" s="10"/>
      <c r="F812" s="9"/>
    </row>
    <row r="813">
      <c r="D813" s="10"/>
      <c r="E813" s="10"/>
      <c r="F813" s="9"/>
    </row>
    <row r="814">
      <c r="D814" s="10"/>
      <c r="E814" s="10"/>
      <c r="F814" s="9"/>
    </row>
    <row r="815">
      <c r="D815" s="10"/>
      <c r="E815" s="10"/>
      <c r="F815" s="9"/>
    </row>
    <row r="816">
      <c r="D816" s="10"/>
      <c r="E816" s="10"/>
      <c r="F816" s="9"/>
    </row>
    <row r="817">
      <c r="D817" s="10"/>
      <c r="E817" s="10"/>
      <c r="F817" s="9"/>
    </row>
    <row r="818">
      <c r="D818" s="10"/>
      <c r="E818" s="10"/>
      <c r="F818" s="9"/>
    </row>
    <row r="819">
      <c r="D819" s="10"/>
      <c r="E819" s="10"/>
      <c r="F819" s="9"/>
    </row>
    <row r="820">
      <c r="D820" s="10"/>
      <c r="E820" s="10"/>
      <c r="F820" s="9"/>
    </row>
    <row r="821">
      <c r="D821" s="10"/>
      <c r="E821" s="10"/>
      <c r="F821" s="9"/>
    </row>
    <row r="822">
      <c r="D822" s="10"/>
      <c r="E822" s="10"/>
      <c r="F822" s="9"/>
    </row>
    <row r="823">
      <c r="D823" s="10"/>
      <c r="E823" s="10"/>
      <c r="F823" s="9"/>
    </row>
    <row r="824">
      <c r="D824" s="10"/>
      <c r="E824" s="10"/>
      <c r="F824" s="9"/>
    </row>
    <row r="825">
      <c r="D825" s="10"/>
      <c r="E825" s="10"/>
      <c r="F825" s="9"/>
    </row>
    <row r="826">
      <c r="D826" s="10"/>
      <c r="E826" s="10"/>
      <c r="F826" s="9"/>
    </row>
    <row r="827">
      <c r="D827" s="10"/>
      <c r="E827" s="10"/>
      <c r="F827" s="9"/>
    </row>
    <row r="828">
      <c r="D828" s="10"/>
      <c r="E828" s="10"/>
      <c r="F828" s="9"/>
    </row>
    <row r="829">
      <c r="D829" s="10"/>
      <c r="E829" s="10"/>
      <c r="F829" s="9"/>
    </row>
    <row r="830">
      <c r="D830" s="10"/>
      <c r="E830" s="10"/>
      <c r="F830" s="9"/>
    </row>
    <row r="831">
      <c r="D831" s="10"/>
      <c r="E831" s="10"/>
      <c r="F831" s="9"/>
    </row>
    <row r="832">
      <c r="D832" s="10"/>
      <c r="E832" s="10"/>
      <c r="F832" s="9"/>
    </row>
    <row r="833">
      <c r="D833" s="10"/>
      <c r="E833" s="10"/>
      <c r="F833" s="9"/>
    </row>
    <row r="834">
      <c r="D834" s="10"/>
      <c r="E834" s="10"/>
      <c r="F834" s="9"/>
    </row>
    <row r="835">
      <c r="D835" s="10"/>
      <c r="E835" s="10"/>
      <c r="F835" s="9"/>
    </row>
    <row r="836">
      <c r="D836" s="10"/>
      <c r="E836" s="10"/>
      <c r="F836" s="9"/>
    </row>
    <row r="837">
      <c r="D837" s="10"/>
      <c r="E837" s="10"/>
      <c r="F837" s="9"/>
    </row>
    <row r="838">
      <c r="D838" s="10"/>
      <c r="E838" s="10"/>
      <c r="F838" s="9"/>
    </row>
    <row r="839">
      <c r="D839" s="10"/>
      <c r="E839" s="10"/>
      <c r="F839" s="9"/>
    </row>
    <row r="840">
      <c r="D840" s="10"/>
      <c r="E840" s="10"/>
      <c r="F840" s="9"/>
    </row>
    <row r="841">
      <c r="D841" s="10"/>
      <c r="E841" s="10"/>
      <c r="F841" s="9"/>
    </row>
    <row r="842">
      <c r="D842" s="10"/>
      <c r="E842" s="10"/>
      <c r="F842" s="9"/>
    </row>
    <row r="843">
      <c r="D843" s="10"/>
      <c r="E843" s="10"/>
      <c r="F843" s="9"/>
    </row>
    <row r="844">
      <c r="D844" s="10"/>
      <c r="E844" s="10"/>
      <c r="F844" s="9"/>
    </row>
    <row r="845">
      <c r="D845" s="10"/>
      <c r="E845" s="10"/>
      <c r="F845" s="9"/>
    </row>
    <row r="846">
      <c r="D846" s="10"/>
      <c r="E846" s="10"/>
      <c r="F846" s="9"/>
    </row>
    <row r="847">
      <c r="D847" s="10"/>
      <c r="E847" s="10"/>
      <c r="F847" s="9"/>
    </row>
    <row r="848">
      <c r="D848" s="10"/>
      <c r="E848" s="10"/>
      <c r="F848" s="9"/>
    </row>
    <row r="849">
      <c r="D849" s="10"/>
      <c r="E849" s="10"/>
      <c r="F849" s="9"/>
    </row>
    <row r="850">
      <c r="D850" s="10"/>
      <c r="E850" s="10"/>
      <c r="F850" s="9"/>
    </row>
    <row r="851">
      <c r="D851" s="10"/>
      <c r="E851" s="10"/>
      <c r="F851" s="9"/>
    </row>
    <row r="852">
      <c r="D852" s="10"/>
      <c r="E852" s="10"/>
      <c r="F852" s="9"/>
    </row>
    <row r="853">
      <c r="D853" s="10"/>
      <c r="E853" s="10"/>
      <c r="F853" s="9"/>
    </row>
    <row r="854">
      <c r="D854" s="10"/>
      <c r="E854" s="10"/>
      <c r="F854" s="9"/>
    </row>
    <row r="855">
      <c r="D855" s="10"/>
      <c r="E855" s="10"/>
      <c r="F855" s="9"/>
    </row>
    <row r="856">
      <c r="D856" s="10"/>
      <c r="E856" s="10"/>
      <c r="F856" s="9"/>
    </row>
    <row r="857">
      <c r="D857" s="10"/>
      <c r="E857" s="10"/>
      <c r="F857" s="9"/>
    </row>
    <row r="858">
      <c r="D858" s="10"/>
      <c r="E858" s="10"/>
      <c r="F858" s="9"/>
    </row>
    <row r="859">
      <c r="D859" s="10"/>
      <c r="E859" s="10"/>
      <c r="F859" s="9"/>
    </row>
    <row r="860">
      <c r="D860" s="10"/>
      <c r="E860" s="10"/>
      <c r="F860" s="9"/>
    </row>
    <row r="861">
      <c r="D861" s="10"/>
      <c r="E861" s="10"/>
      <c r="F861" s="9"/>
    </row>
    <row r="862">
      <c r="D862" s="10"/>
      <c r="E862" s="10"/>
      <c r="F862" s="9"/>
    </row>
    <row r="863">
      <c r="D863" s="10"/>
      <c r="E863" s="10"/>
      <c r="F863" s="9"/>
    </row>
    <row r="864">
      <c r="D864" s="10"/>
      <c r="E864" s="10"/>
      <c r="F864" s="9"/>
    </row>
    <row r="865">
      <c r="D865" s="10"/>
      <c r="E865" s="10"/>
      <c r="F865" s="9"/>
    </row>
    <row r="866">
      <c r="D866" s="10"/>
      <c r="E866" s="10"/>
      <c r="F866" s="9"/>
    </row>
    <row r="867">
      <c r="D867" s="10"/>
      <c r="E867" s="10"/>
      <c r="F867" s="9"/>
    </row>
    <row r="868">
      <c r="D868" s="10"/>
      <c r="E868" s="10"/>
      <c r="F868" s="9"/>
    </row>
    <row r="869">
      <c r="D869" s="10"/>
      <c r="E869" s="10"/>
      <c r="F869" s="9"/>
    </row>
    <row r="870">
      <c r="D870" s="10"/>
      <c r="E870" s="10"/>
      <c r="F870" s="9"/>
    </row>
    <row r="871">
      <c r="D871" s="10"/>
      <c r="E871" s="10"/>
      <c r="F871" s="9"/>
    </row>
    <row r="872">
      <c r="D872" s="10"/>
      <c r="E872" s="10"/>
      <c r="F872" s="9"/>
    </row>
    <row r="873">
      <c r="D873" s="10"/>
      <c r="E873" s="10"/>
      <c r="F873" s="9"/>
    </row>
    <row r="874">
      <c r="D874" s="10"/>
      <c r="E874" s="10"/>
      <c r="F874" s="9"/>
    </row>
    <row r="875">
      <c r="D875" s="10"/>
      <c r="E875" s="10"/>
      <c r="F875" s="9"/>
    </row>
    <row r="876">
      <c r="D876" s="10"/>
      <c r="E876" s="10"/>
      <c r="F876" s="9"/>
    </row>
    <row r="877">
      <c r="D877" s="10"/>
      <c r="E877" s="10"/>
      <c r="F877" s="9"/>
    </row>
    <row r="878">
      <c r="D878" s="10"/>
      <c r="E878" s="10"/>
      <c r="F878" s="9"/>
    </row>
    <row r="879">
      <c r="D879" s="10"/>
      <c r="E879" s="10"/>
      <c r="F879" s="9"/>
    </row>
    <row r="880">
      <c r="D880" s="10"/>
      <c r="E880" s="10"/>
      <c r="F880" s="9"/>
    </row>
    <row r="881">
      <c r="D881" s="10"/>
      <c r="E881" s="10"/>
      <c r="F881" s="9"/>
    </row>
    <row r="882">
      <c r="D882" s="10"/>
      <c r="E882" s="10"/>
      <c r="F882" s="9"/>
    </row>
    <row r="883">
      <c r="D883" s="10"/>
      <c r="E883" s="10"/>
      <c r="F883" s="9"/>
    </row>
    <row r="884">
      <c r="D884" s="10"/>
      <c r="E884" s="10"/>
      <c r="F884" s="9"/>
    </row>
    <row r="885">
      <c r="D885" s="10"/>
      <c r="E885" s="10"/>
      <c r="F885" s="9"/>
    </row>
    <row r="886">
      <c r="D886" s="10"/>
      <c r="E886" s="10"/>
      <c r="F886" s="9"/>
    </row>
    <row r="887">
      <c r="D887" s="10"/>
      <c r="E887" s="10"/>
      <c r="F887" s="9"/>
    </row>
    <row r="888">
      <c r="D888" s="10"/>
      <c r="E888" s="10"/>
      <c r="F888" s="9"/>
    </row>
    <row r="889">
      <c r="D889" s="10"/>
      <c r="E889" s="10"/>
      <c r="F889" s="9"/>
    </row>
    <row r="890">
      <c r="D890" s="10"/>
      <c r="E890" s="10"/>
      <c r="F890" s="9"/>
    </row>
    <row r="891">
      <c r="D891" s="10"/>
      <c r="E891" s="10"/>
      <c r="F891" s="9"/>
    </row>
    <row r="892">
      <c r="D892" s="10"/>
      <c r="E892" s="10"/>
      <c r="F892" s="9"/>
    </row>
    <row r="893">
      <c r="D893" s="10"/>
      <c r="E893" s="10"/>
      <c r="F893" s="9"/>
    </row>
    <row r="894">
      <c r="D894" s="10"/>
      <c r="E894" s="10"/>
      <c r="F894" s="9"/>
    </row>
    <row r="895">
      <c r="D895" s="10"/>
      <c r="E895" s="10"/>
      <c r="F895" s="9"/>
    </row>
    <row r="896">
      <c r="D896" s="10"/>
      <c r="E896" s="10"/>
      <c r="F896" s="9"/>
    </row>
    <row r="897">
      <c r="D897" s="10"/>
      <c r="E897" s="10"/>
      <c r="F897" s="9"/>
    </row>
    <row r="898">
      <c r="D898" s="10"/>
      <c r="E898" s="10"/>
      <c r="F898" s="9"/>
    </row>
    <row r="899">
      <c r="D899" s="10"/>
      <c r="E899" s="10"/>
      <c r="F899" s="9"/>
    </row>
    <row r="900">
      <c r="D900" s="10"/>
      <c r="E900" s="10"/>
      <c r="F900" s="9"/>
    </row>
    <row r="901">
      <c r="D901" s="10"/>
      <c r="E901" s="10"/>
      <c r="F901" s="9"/>
    </row>
    <row r="902">
      <c r="D902" s="10"/>
      <c r="E902" s="10"/>
      <c r="F902" s="9"/>
    </row>
    <row r="903">
      <c r="D903" s="10"/>
      <c r="E903" s="10"/>
      <c r="F903" s="9"/>
    </row>
    <row r="904">
      <c r="D904" s="10"/>
      <c r="E904" s="10"/>
      <c r="F904" s="9"/>
    </row>
    <row r="905">
      <c r="D905" s="10"/>
      <c r="E905" s="10"/>
      <c r="F905" s="9"/>
    </row>
    <row r="906">
      <c r="D906" s="10"/>
      <c r="E906" s="10"/>
      <c r="F906" s="9"/>
    </row>
    <row r="907">
      <c r="D907" s="10"/>
      <c r="E907" s="10"/>
      <c r="F907" s="9"/>
    </row>
    <row r="908">
      <c r="D908" s="10"/>
      <c r="E908" s="10"/>
      <c r="F908" s="9"/>
    </row>
    <row r="909">
      <c r="D909" s="10"/>
      <c r="E909" s="10"/>
      <c r="F909" s="9"/>
    </row>
    <row r="910">
      <c r="D910" s="10"/>
      <c r="E910" s="10"/>
      <c r="F910" s="9"/>
    </row>
    <row r="911">
      <c r="D911" s="10"/>
      <c r="E911" s="10"/>
      <c r="F911" s="9"/>
    </row>
    <row r="912">
      <c r="D912" s="10"/>
      <c r="E912" s="10"/>
      <c r="F912" s="9"/>
    </row>
    <row r="913">
      <c r="D913" s="10"/>
      <c r="E913" s="10"/>
      <c r="F913" s="9"/>
    </row>
    <row r="914">
      <c r="D914" s="10"/>
      <c r="E914" s="10"/>
      <c r="F914" s="9"/>
    </row>
    <row r="915">
      <c r="D915" s="10"/>
      <c r="E915" s="10"/>
      <c r="F915" s="9"/>
    </row>
    <row r="916">
      <c r="D916" s="10"/>
      <c r="E916" s="10"/>
      <c r="F916" s="9"/>
    </row>
    <row r="917">
      <c r="D917" s="10"/>
      <c r="E917" s="10"/>
      <c r="F917" s="9"/>
    </row>
    <row r="918">
      <c r="D918" s="10"/>
      <c r="E918" s="10"/>
      <c r="F918" s="9"/>
    </row>
    <row r="919">
      <c r="D919" s="10"/>
      <c r="E919" s="10"/>
      <c r="F919" s="9"/>
    </row>
    <row r="920">
      <c r="D920" s="10"/>
      <c r="E920" s="10"/>
      <c r="F920" s="9"/>
    </row>
    <row r="921">
      <c r="D921" s="10"/>
      <c r="E921" s="10"/>
      <c r="F921" s="9"/>
    </row>
    <row r="922">
      <c r="D922" s="10"/>
      <c r="E922" s="10"/>
      <c r="F922" s="9"/>
    </row>
    <row r="923">
      <c r="D923" s="10"/>
      <c r="E923" s="10"/>
      <c r="F923" s="9"/>
    </row>
    <row r="924">
      <c r="D924" s="10"/>
      <c r="E924" s="10"/>
      <c r="F924" s="9"/>
    </row>
    <row r="925">
      <c r="D925" s="10"/>
      <c r="E925" s="10"/>
      <c r="F925" s="9"/>
    </row>
    <row r="926">
      <c r="D926" s="10"/>
      <c r="E926" s="10"/>
      <c r="F926" s="9"/>
    </row>
    <row r="927">
      <c r="D927" s="10"/>
      <c r="E927" s="10"/>
      <c r="F927" s="9"/>
    </row>
    <row r="928">
      <c r="D928" s="10"/>
      <c r="E928" s="10"/>
      <c r="F928" s="9"/>
    </row>
    <row r="929">
      <c r="D929" s="10"/>
      <c r="E929" s="10"/>
      <c r="F929" s="9"/>
    </row>
    <row r="930">
      <c r="D930" s="10"/>
      <c r="E930" s="10"/>
      <c r="F930" s="9"/>
    </row>
    <row r="931">
      <c r="D931" s="10"/>
      <c r="E931" s="10"/>
      <c r="F931" s="9"/>
    </row>
    <row r="932">
      <c r="D932" s="10"/>
      <c r="E932" s="10"/>
      <c r="F932" s="9"/>
    </row>
    <row r="933">
      <c r="D933" s="10"/>
      <c r="E933" s="10"/>
      <c r="F933" s="9"/>
    </row>
    <row r="934">
      <c r="D934" s="10"/>
      <c r="E934" s="10"/>
      <c r="F934" s="9"/>
    </row>
    <row r="935">
      <c r="D935" s="10"/>
      <c r="E935" s="10"/>
      <c r="F935" s="9"/>
    </row>
    <row r="936">
      <c r="D936" s="10"/>
      <c r="E936" s="10"/>
      <c r="F936" s="9"/>
    </row>
    <row r="937">
      <c r="D937" s="10"/>
      <c r="E937" s="10"/>
      <c r="F937" s="9"/>
    </row>
    <row r="938">
      <c r="D938" s="10"/>
      <c r="E938" s="10"/>
      <c r="F938" s="9"/>
    </row>
    <row r="939">
      <c r="D939" s="10"/>
      <c r="E939" s="10"/>
      <c r="F939" s="9"/>
    </row>
    <row r="940">
      <c r="D940" s="10"/>
      <c r="E940" s="10"/>
      <c r="F940" s="9"/>
    </row>
    <row r="941">
      <c r="D941" s="10"/>
      <c r="E941" s="10"/>
      <c r="F941" s="9"/>
    </row>
    <row r="942">
      <c r="D942" s="10"/>
      <c r="E942" s="10"/>
      <c r="F942" s="9"/>
    </row>
    <row r="943">
      <c r="D943" s="10"/>
      <c r="E943" s="10"/>
      <c r="F943" s="9"/>
    </row>
    <row r="944">
      <c r="D944" s="10"/>
      <c r="E944" s="10"/>
      <c r="F944" s="9"/>
    </row>
    <row r="945">
      <c r="D945" s="10"/>
      <c r="E945" s="10"/>
      <c r="F945" s="9"/>
    </row>
    <row r="946">
      <c r="D946" s="10"/>
      <c r="E946" s="10"/>
      <c r="F946" s="9"/>
    </row>
    <row r="947">
      <c r="D947" s="10"/>
      <c r="E947" s="10"/>
      <c r="F947" s="9"/>
    </row>
    <row r="948">
      <c r="D948" s="10"/>
      <c r="E948" s="10"/>
      <c r="F948" s="9"/>
    </row>
    <row r="949">
      <c r="D949" s="10"/>
      <c r="E949" s="10"/>
      <c r="F949" s="9"/>
    </row>
    <row r="950">
      <c r="D950" s="10"/>
      <c r="E950" s="10"/>
      <c r="F950" s="9"/>
    </row>
    <row r="951">
      <c r="D951" s="10"/>
      <c r="E951" s="10"/>
      <c r="F951" s="9"/>
    </row>
    <row r="952">
      <c r="D952" s="10"/>
      <c r="E952" s="10"/>
      <c r="F952" s="9"/>
    </row>
    <row r="953">
      <c r="D953" s="10"/>
      <c r="E953" s="10"/>
      <c r="F953" s="9"/>
    </row>
    <row r="954">
      <c r="D954" s="10"/>
      <c r="E954" s="10"/>
      <c r="F954" s="9"/>
    </row>
    <row r="955">
      <c r="D955" s="10"/>
      <c r="E955" s="10"/>
      <c r="F955" s="9"/>
    </row>
    <row r="956">
      <c r="D956" s="10"/>
      <c r="E956" s="10"/>
      <c r="F956" s="9"/>
    </row>
    <row r="957">
      <c r="D957" s="10"/>
      <c r="E957" s="10"/>
      <c r="F957" s="9"/>
    </row>
    <row r="958">
      <c r="D958" s="10"/>
      <c r="E958" s="10"/>
      <c r="F958" s="9"/>
    </row>
    <row r="959">
      <c r="D959" s="10"/>
      <c r="E959" s="10"/>
      <c r="F959" s="9"/>
    </row>
    <row r="960">
      <c r="D960" s="10"/>
      <c r="E960" s="10"/>
      <c r="F960" s="9"/>
    </row>
    <row r="961">
      <c r="D961" s="10"/>
      <c r="E961" s="10"/>
      <c r="F961" s="9"/>
    </row>
    <row r="962">
      <c r="D962" s="10"/>
      <c r="E962" s="10"/>
      <c r="F962" s="9"/>
    </row>
    <row r="963">
      <c r="D963" s="10"/>
      <c r="E963" s="10"/>
      <c r="F963" s="9"/>
    </row>
    <row r="964">
      <c r="D964" s="10"/>
      <c r="E964" s="10"/>
      <c r="F964" s="9"/>
    </row>
    <row r="965">
      <c r="D965" s="10"/>
      <c r="E965" s="10"/>
      <c r="F965" s="9"/>
    </row>
    <row r="966">
      <c r="D966" s="10"/>
      <c r="E966" s="10"/>
      <c r="F966" s="9"/>
    </row>
    <row r="967">
      <c r="D967" s="10"/>
      <c r="E967" s="10"/>
      <c r="F967" s="9"/>
    </row>
    <row r="968">
      <c r="D968" s="10"/>
      <c r="E968" s="10"/>
      <c r="F968" s="9"/>
    </row>
    <row r="969">
      <c r="D969" s="10"/>
      <c r="E969" s="10"/>
      <c r="F969" s="9"/>
    </row>
    <row r="970">
      <c r="D970" s="10"/>
      <c r="E970" s="10"/>
      <c r="F970" s="9"/>
    </row>
    <row r="971">
      <c r="D971" s="10"/>
      <c r="E971" s="10"/>
      <c r="F971" s="9"/>
    </row>
    <row r="972">
      <c r="D972" s="10"/>
      <c r="E972" s="10"/>
      <c r="F972" s="9"/>
    </row>
    <row r="973">
      <c r="D973" s="10"/>
      <c r="E973" s="10"/>
      <c r="F973" s="9"/>
    </row>
    <row r="974">
      <c r="D974" s="10"/>
      <c r="E974" s="10"/>
      <c r="F974" s="9"/>
    </row>
    <row r="975">
      <c r="D975" s="10"/>
      <c r="E975" s="10"/>
      <c r="F975" s="9"/>
    </row>
    <row r="976">
      <c r="D976" s="10"/>
      <c r="E976" s="10"/>
      <c r="F976" s="9"/>
    </row>
    <row r="977">
      <c r="D977" s="10"/>
      <c r="E977" s="10"/>
      <c r="F977" s="9"/>
    </row>
    <row r="978">
      <c r="D978" s="10"/>
      <c r="E978" s="10"/>
      <c r="F978" s="9"/>
    </row>
    <row r="979">
      <c r="D979" s="10"/>
      <c r="E979" s="10"/>
      <c r="F979" s="9"/>
    </row>
    <row r="980">
      <c r="D980" s="10"/>
      <c r="E980" s="10"/>
      <c r="F980" s="9"/>
    </row>
    <row r="981">
      <c r="D981" s="10"/>
      <c r="E981" s="10"/>
      <c r="F981" s="9"/>
    </row>
    <row r="982">
      <c r="D982" s="10"/>
      <c r="E982" s="10"/>
      <c r="F982" s="9"/>
    </row>
    <row r="983">
      <c r="D983" s="10"/>
      <c r="E983" s="10"/>
      <c r="F983" s="9"/>
    </row>
    <row r="984">
      <c r="D984" s="10"/>
      <c r="E984" s="10"/>
      <c r="F984" s="9"/>
    </row>
    <row r="985">
      <c r="D985" s="10"/>
      <c r="E985" s="10"/>
      <c r="F985" s="9"/>
    </row>
    <row r="986">
      <c r="D986" s="10"/>
      <c r="E986" s="10"/>
      <c r="F986" s="9"/>
    </row>
    <row r="987">
      <c r="D987" s="10"/>
      <c r="E987" s="10"/>
      <c r="F987" s="9"/>
    </row>
    <row r="988">
      <c r="D988" s="10"/>
      <c r="E988" s="10"/>
      <c r="F988" s="9"/>
    </row>
    <row r="989">
      <c r="D989" s="10"/>
      <c r="E989" s="10"/>
      <c r="F989" s="9"/>
    </row>
    <row r="990">
      <c r="D990" s="10"/>
      <c r="E990" s="10"/>
      <c r="F990" s="9"/>
    </row>
    <row r="991">
      <c r="D991" s="10"/>
      <c r="E991" s="10"/>
      <c r="F991" s="9"/>
    </row>
    <row r="992">
      <c r="D992" s="10"/>
      <c r="E992" s="10"/>
      <c r="F992" s="9"/>
    </row>
    <row r="993">
      <c r="D993" s="10"/>
      <c r="E993" s="10"/>
      <c r="F993" s="9"/>
    </row>
    <row r="994">
      <c r="D994" s="10"/>
      <c r="E994" s="10"/>
      <c r="F994" s="9"/>
    </row>
    <row r="995">
      <c r="D995" s="10"/>
      <c r="E995" s="10"/>
      <c r="F995" s="9"/>
    </row>
    <row r="996">
      <c r="D996" s="10"/>
      <c r="E996" s="10"/>
      <c r="F996" s="9"/>
    </row>
    <row r="997">
      <c r="D997" s="10"/>
      <c r="E997" s="10"/>
      <c r="F997" s="9"/>
    </row>
    <row r="998">
      <c r="D998" s="10"/>
      <c r="E998" s="10"/>
      <c r="F998" s="9"/>
    </row>
    <row r="999">
      <c r="D999" s="10"/>
      <c r="E999" s="10"/>
      <c r="F999" s="9"/>
    </row>
    <row r="1000">
      <c r="D1000" s="10"/>
      <c r="E1000" s="10"/>
      <c r="F1000" s="9"/>
    </row>
    <row r="1001">
      <c r="D1001" s="10"/>
      <c r="E1001" s="10"/>
      <c r="F1001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1" t="s">
        <v>977</v>
      </c>
      <c r="B1" s="11" t="s">
        <v>978</v>
      </c>
      <c r="C1" s="11" t="s">
        <v>979</v>
      </c>
    </row>
    <row r="2">
      <c r="A2" s="12">
        <f>SUM(FinalData!J:J)</f>
        <v>330425.6</v>
      </c>
      <c r="B2" s="12">
        <f>COUNTA(FinalData!A:A)-1</f>
        <v>500</v>
      </c>
      <c r="C2" s="12">
        <f>AVERAGE(FinalData!J:J)</f>
        <v>660.8512</v>
      </c>
    </row>
    <row r="19">
      <c r="A19" s="1" t="s">
        <v>980</v>
      </c>
    </row>
    <row r="20">
      <c r="A20" s="2" t="s">
        <v>981</v>
      </c>
    </row>
    <row r="21">
      <c r="A21" s="2" t="s">
        <v>982</v>
      </c>
    </row>
    <row r="22">
      <c r="A22" s="2" t="s">
        <v>983</v>
      </c>
    </row>
    <row r="23">
      <c r="A23" s="2" t="s">
        <v>984</v>
      </c>
    </row>
    <row r="24">
      <c r="A24" s="2" t="s">
        <v>985</v>
      </c>
    </row>
    <row r="25">
      <c r="A25" s="2" t="s">
        <v>986</v>
      </c>
    </row>
    <row r="26">
      <c r="A26" s="2" t="s">
        <v>987</v>
      </c>
    </row>
    <row r="27">
      <c r="A27" s="2" t="s">
        <v>988</v>
      </c>
    </row>
    <row r="28">
      <c r="A28" s="2" t="s">
        <v>989</v>
      </c>
    </row>
    <row r="29">
      <c r="A29" s="2" t="s">
        <v>990</v>
      </c>
    </row>
    <row r="30">
      <c r="A30" s="2" t="s">
        <v>991</v>
      </c>
    </row>
    <row r="31">
      <c r="A31" s="2" t="s">
        <v>992</v>
      </c>
    </row>
    <row r="32">
      <c r="A32" s="2" t="s">
        <v>993</v>
      </c>
    </row>
    <row r="33">
      <c r="A33" s="2" t="s">
        <v>994</v>
      </c>
    </row>
  </sheetData>
  <drawing r:id="rId1"/>
</worksheet>
</file>